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17c3f1b33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9b8c900b9a0460a"/>
    <x:sheet xmlns:r="http://schemas.openxmlformats.org/officeDocument/2006/relationships" name="Lists" sheetId="2" r:id="Rb6da6364402f4df7"/>
    <x:sheet xmlns:r="http://schemas.openxmlformats.org/officeDocument/2006/relationships" name="Answer_Key" sheetId="3" r:id="Rf9586e89d4964aed"/>
    <x:sheet xmlns:r="http://schemas.openxmlformats.org/officeDocument/2006/relationships" name="Evaluation_Rubric" sheetId="4" r:id="R46e7f64837194326"/>
    <x:sheet xmlns:r="http://schemas.openxmlformats.org/officeDocument/2006/relationships" name="Student_Responses" sheetId="5" r:id="Reff7ba306ebf4cae"/>
    <x:sheet xmlns:r="http://schemas.openxmlformats.org/officeDocument/2006/relationships" name="Evaluation_Worksheet" sheetId="6" r:id="R1e38742a1fe14ab3"/>
    <x:sheet xmlns:r="http://schemas.openxmlformats.org/officeDocument/2006/relationships" name="Results_Summary" sheetId="7" r:id="Rae08aee397b44d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0"/>
    <x:numFmt numFmtId="202" formatCode="0.00%"/>
  </x:numFmts>
  <x:fonts count="5">
    <x:font>
      <x:sz val="11"/>
      <x:name val="Carlito"/>
    </x:font>
    <x:font>
      <x:b/>
      <x:sz val="18"/>
      <x:color rgb="FFFFFFFF"/>
      <x:name val="Carlito"/>
    </x:font>
    <x:font>
      <x:sz val="11"/>
      <x:color rgb="FF102A43"/>
      <x:name val="Carlito"/>
    </x:font>
    <x:font>
      <x:b/>
      <x:sz val="11"/>
      <x:color rgb="FF102A43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3FF"/>
      </x:patternFill>
    </x:fill>
    <x:fill>
      <x:patternFill patternType="solid">
        <x:fgColor rgb="FFF5F7FA"/>
      </x:patternFill>
    </x:fill>
    <x:fill>
      <x:patternFill patternType="solid">
        <x:fgColor rgb="FF0B63CE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  <x:bottom/>
    </x:border>
    <x:border>
      <x:left/>
      <x:right/>
      <x:top/>
    </x:border>
    <x:border>
      <x:left/>
      <x:right/>
      <x:bottom/>
    </x:border>
    <x:border>
      <x:left/>
      <x:right/>
      <x:top/>
      <x:bottom/>
    </x:border>
    <x:border>
      <x:left/>
      <x:right/>
      <x:top/>
    </x:border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/>
    <x:xf numFmtId="0" fontId="2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/>
    <x:xf numFmtId="0" fontId="2" fillId="0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/>
    <x:xf numFmtId="0" fontId="2" fillId="0" borderId="13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17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9a19301c44b79" /><Relationship Type="http://schemas.openxmlformats.org/officeDocument/2006/relationships/theme" Target="/xl/theme/theme1.xml" Id="R8619dfb8e8454bec" /><Relationship Type="http://schemas.openxmlformats.org/officeDocument/2006/relationships/sharedStrings" Target="/xl/sharedStrings.xml" Id="R3a6ffc3f8e8f40bf" /><Relationship Type="http://schemas.openxmlformats.org/officeDocument/2006/relationships/worksheet" Target="/xl/worksheets/sheet1.xml" Id="R49b8c900b9a0460a" /><Relationship Type="http://schemas.openxmlformats.org/officeDocument/2006/relationships/worksheet" Target="/xl/worksheets/sheet2.xml" Id="Rb6da6364402f4df7" /><Relationship Type="http://schemas.openxmlformats.org/officeDocument/2006/relationships/worksheet" Target="/xl/worksheets/sheet3.xml" Id="Rf9586e89d4964aed" /><Relationship Type="http://schemas.openxmlformats.org/officeDocument/2006/relationships/worksheet" Target="/xl/worksheets/sheet4.xml" Id="R46e7f64837194326" /><Relationship Type="http://schemas.openxmlformats.org/officeDocument/2006/relationships/worksheet" Target="/xl/worksheets/sheet5.xml" Id="Reff7ba306ebf4cae" /><Relationship Type="http://schemas.openxmlformats.org/officeDocument/2006/relationships/worksheet" Target="/xl/worksheets/sheet6.xml" Id="R1e38742a1fe14ab3" /><Relationship Type="http://schemas.openxmlformats.org/officeDocument/2006/relationships/worksheet" Target="/xl/worksheets/sheet7.xml" Id="Rae08aee397b44d5c" /></Relationships>
</file>

<file path=xl/tables/table1.xml><?xml version="1.0" encoding="utf-8"?>
<x:table xmlns:x="http://schemas.openxmlformats.org/spreadsheetml/2006/main" id="1" name="AnswerKeyTable" displayName="AnswerKeyTable" ref="A4:V87" headerRowCount="1">
  <x:tableColumns count="22">
    <x:tableColumn id="1" name="AssessmentTitle"/>
    <x:tableColumn id="2" name="UnitNo"/>
    <x:tableColumn id="3" name="UnitTitle"/>
    <x:tableColumn id="4" name="QuestionID"/>
    <x:tableColumn id="5" name="QuestionType"/>
    <x:tableColumn id="6" name="QuestionText"/>
    <x:tableColumn id="7" name="OptionA"/>
    <x:tableColumn id="8" name="OptionB"/>
    <x:tableColumn id="9" name="OptionC"/>
    <x:tableColumn id="10" name="OptionD"/>
    <x:tableColumn id="11" name="CorrectAnswer"/>
    <x:tableColumn id="12" name="AcceptedAnswers"/>
    <x:tableColumn id="13" name="Marks"/>
    <x:tableColumn id="14" name="CaseSensitive"/>
    <x:tableColumn id="15" name="Explanation"/>
    <x:tableColumn id="16" name="StarterCode"/>
    <x:tableColumn id="17" name="VisibleTestCases"/>
    <x:tableColumn id="18" name="HiddenTestCases"/>
    <x:tableColumn id="19" name="ExpectedOutput"/>
    <x:tableColumn id="20" name="EvaluationMode"/>
    <x:tableColumn id="21" name="Difficulty"/>
    <x:tableColumn id="22" name="Tags"/>
  </x:tableColumns>
  <x:tableStyleInfo name="TableStyleMedium2" showRowStripes="1"/>
</x:table>
</file>

<file path=xl/tables/table2.xml><?xml version="1.0" encoding="utf-8"?>
<x:table xmlns:x="http://schemas.openxmlformats.org/spreadsheetml/2006/main" id="2" name="StudentResponsesTable" displayName="StudentResponsesTable" ref="A4:K87" headerRowCount="1">
  <x:tableColumns count="11">
    <x:tableColumn id="1" name="AttemptID"/>
    <x:tableColumn id="2" name="StudentID"/>
    <x:tableColumn id="3" name="StudentName"/>
    <x:tableColumn id="4" name="RollNo"/>
    <x:tableColumn id="5" name="Email"/>
    <x:tableColumn id="6" name="AssessmentTitle"/>
    <x:tableColumn id="7" name="QuestionID"/>
    <x:tableColumn id="8" name="QuestionType"/>
    <x:tableColumn id="9" name="StudentAnswer"/>
    <x:tableColumn id="10" name="CodeAnswer"/>
    <x:tableColumn id="11" name="SubmittedAt"/>
  </x:tableColumns>
  <x:tableStyleInfo name="TableStyleMedium2" showRowStripes="1"/>
</x:table>
</file>

<file path=xl/tables/table3.xml><?xml version="1.0" encoding="utf-8"?>
<x:table xmlns:x="http://schemas.openxmlformats.org/spreadsheetml/2006/main" id="3" name="EvaluationWorksheetTable" displayName="EvaluationWorksheetTable" ref="A4:P87" headerRowCount="1">
  <x:tableColumns count="16">
    <x:tableColumn id="1" name="AttemptID"/>
    <x:tableColumn id="2" name="StudentID"/>
    <x:tableColumn id="3" name="StudentName"/>
    <x:tableColumn id="4" name="QuestionID"/>
    <x:tableColumn id="5" name="QuestionType"/>
    <x:tableColumn id="6" name="MaxMarks"/>
    <x:tableColumn id="7" name="StudentAnswer"/>
    <x:tableColumn id="8" name="CodeAnswer"/>
    <x:tableColumn id="9" name="Correct/Accepted"/>
    <x:tableColumn id="10" name="AutoMarks"/>
    <x:tableColumn id="11" name="ManualMarks"/>
    <x:tableColumn id="12" name="FinalMarks"/>
    <x:tableColumn id="13" name="IsCorrect"/>
    <x:tableColumn id="14" name="Feedback"/>
    <x:tableColumn id="15" name="ReviewStatus"/>
    <x:tableColumn id="16" name="EvaluatedBy"/>
  </x:tableColumns>
  <x:tableStyleInfo name="TableStyleMedium2" showRowStripes="1"/>
</x:table>
</file>

<file path=xl/tables/table4.xml><?xml version="1.0" encoding="utf-8"?>
<x:table xmlns:x="http://schemas.openxmlformats.org/spreadsheetml/2006/main" id="4" name="ResultsSummaryTable" displayName="ResultsSummaryTable" ref="A4:I34" headerRowCount="1">
  <x:tableColumns count="9">
    <x:tableColumn id="1" name="AttemptID"/>
    <x:tableColumn id="2" name="StudentID"/>
    <x:tableColumn id="3" name="StudentName"/>
    <x:tableColumn id="4" name="TotalMarks"/>
    <x:tableColumn id="5" name="Score"/>
    <x:tableColumn id="6" name="Percentage"/>
    <x:tableColumn id="7" name="ReviewStatus"/>
    <x:tableColumn id="8" name="PublishStatus"/>
    <x:tableColumn id="9" name="Teacher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c3366b084b543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c1a1c57c29d84f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edec77a1124745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6eeea6d1d082437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32" customHeight="1">
      <x:c r="A1" s="5" t="str">
        <x:v>ClassNest Answer Key &amp; Evaluation Template</x:v>
      </x:c>
    </x:row>
    <x:row r="2" ht="26" customHeight="1">
      <x:c r="A2" s="12" t="str">
        <x:v>Use this workbook to store teacher-only answer keys and evaluate student assessment attempts.</x:v>
      </x:c>
    </x:row>
    <x:row r="4">
      <x:c r="A4" s="24" t="str">
        <x:v>Purpose</x:v>
      </x:c>
      <x:c r="B4" s="25" t="str">
        <x:v>This companion template is for teachers/evaluators. It should NOT be shared with students.</x:v>
      </x:c>
    </x:row>
    <x:row r="5">
      <x:c r="A5" s="26" t="str">
        <x:v>Compatible with</x:v>
      </x:c>
      <x:c r="B5" s="27" t="str">
        <x:v>ClassNest Assessment Clean Template / Questions_Import sheet.</x:v>
      </x:c>
    </x:row>
    <x:row r="6">
      <x:c r="A6" s="26" t="str">
        <x:v>Answer_Key</x:v>
      </x:c>
      <x:c r="B6" s="27" t="str">
        <x:v>Teacher-only answers, explanations, accepted answers, hidden test cases, and evaluation rules.</x:v>
      </x:c>
    </x:row>
    <x:row r="7">
      <x:c r="A7" s="26" t="str">
        <x:v>Evaluation_Rubric</x:v>
      </x:c>
      <x:c r="B7" s="27" t="str">
        <x:v>Manual scoring rules for MCQ, fill-up, and coding questions.</x:v>
      </x:c>
    </x:row>
    <x:row r="8">
      <x:c r="A8" s="26" t="str">
        <x:v>Student_Responses</x:v>
      </x:c>
      <x:c r="B8" s="27" t="str">
        <x:v>Paste/export student responses here for evaluation.</x:v>
      </x:c>
    </x:row>
    <x:row r="9">
      <x:c r="A9" s="26" t="str">
        <x:v>Evaluation_Worksheet</x:v>
      </x:c>
      <x:c r="B9" s="27" t="str">
        <x:v>Evaluator-facing marking sheet with auto/manual marks, feedback, and status.</x:v>
      </x:c>
    </x:row>
    <x:row r="10">
      <x:c r="A10" s="26" t="str">
        <x:v>Results_Summary</x:v>
      </x:c>
      <x:c r="B10" s="27" t="str">
        <x:v>Per-student score summary with formulas.</x:v>
      </x:c>
    </x:row>
    <x:row r="11">
      <x:c r="A11" s="26" t="str">
        <x:v>Lists</x:v>
      </x:c>
      <x:c r="B11" s="27" t="str">
        <x:v>Dropdown values used by the workbook.</x:v>
      </x:c>
    </x:row>
    <x:row r="12">
      <x:c r="A12" s="26" t="str">
        <x:v>Security rule</x:v>
      </x:c>
      <x:c r="B12" s="27" t="str">
        <x:v>Never expose CorrectAnswer, AcceptedAnswers, Explanation, or HiddenTestCases before results are published.</x:v>
      </x:c>
    </x:row>
    <x:row r="13">
      <x:c r="A13" s="26" t="str">
        <x:v>Recommended workflow</x:v>
      </x:c>
      <x:c r="B13" s="27" t="str">
        <x:v>Upload questions → students submit → export attempts → evaluate → publish results.</x:v>
      </x:c>
    </x:row>
    <x:row r="14">
      <x:c r="A14" s="28"/>
      <x:c r="B14" s="29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22" hidden="0" customWidth="1"/>
    <x:col min="6" max="6" width="20" hidden="0" customWidth="1"/>
  </x:cols>
  <x:sheetData>
    <x:row r="1" ht="32" customHeight="1">
      <x:c r="A1" s="5" t="str">
        <x:v>Validation Lists</x:v>
      </x:c>
    </x:row>
    <x:row r="2" ht="26" customHeight="1">
      <x:c r="A2" s="12" t="str">
        <x:v>Internal dropdown values for the answer key/evaluation template.</x:v>
      </x:c>
    </x:row>
    <x:row r="4">
      <x:c r="A4" s="39" t="str">
        <x:v>QuestionType</x:v>
      </x:c>
      <x:c r="B4" s="39" t="str">
        <x:v>Difficulty</x:v>
      </x:c>
      <x:c r="C4" s="39" t="str">
        <x:v>CaseSensitive</x:v>
      </x:c>
      <x:c r="D4" s="39" t="str">
        <x:v>EvaluationMode</x:v>
      </x:c>
      <x:c r="E4" s="39" t="str">
        <x:v>ReviewStatus</x:v>
      </x:c>
      <x:c r="F4" s="39" t="str">
        <x:v>PublishStatus</x:v>
      </x:c>
    </x:row>
    <x:row r="5">
      <x:c r="A5" s="44" t="str">
        <x:v>MCQ</x:v>
      </x:c>
      <x:c r="B5" s="44" t="str">
        <x:v>Easy</x:v>
      </x:c>
      <x:c r="C5" s="44" t="str">
        <x:v>FALSE</x:v>
      </x:c>
      <x:c r="D5" s="44" t="str">
        <x:v>AUTO</x:v>
      </x:c>
      <x:c r="E5" s="44" t="str">
        <x:v>Pending</x:v>
      </x:c>
      <x:c r="F5" s="44" t="str">
        <x:v>Draft</x:v>
      </x:c>
    </x:row>
    <x:row r="6">
      <x:c r="A6" s="44" t="str">
        <x:v>FILLUP</x:v>
      </x:c>
      <x:c r="B6" s="44" t="str">
        <x:v>Medium</x:v>
      </x:c>
      <x:c r="C6" s="44" t="str">
        <x:v>TRUE</x:v>
      </x:c>
      <x:c r="D6" s="44" t="str">
        <x:v>AUTO</x:v>
      </x:c>
      <x:c r="E6" s="44" t="str">
        <x:v>In Review</x:v>
      </x:c>
      <x:c r="F6" s="44" t="str">
        <x:v>Evaluated</x:v>
      </x:c>
    </x:row>
    <x:row r="7">
      <x:c r="A7" s="44" t="str">
        <x:v>CODING</x:v>
      </x:c>
      <x:c r="B7" s="44" t="str">
        <x:v>Hard</x:v>
      </x:c>
      <x:c r="C7" s="44" t="str"/>
      <x:c r="D7" s="44" t="str">
        <x:v>MANUAL</x:v>
      </x:c>
      <x:c r="E7" s="44" t="str">
        <x:v>Needs Correction</x:v>
      </x:c>
      <x:c r="F7" s="44" t="str">
        <x:v>Published</x:v>
      </x:c>
    </x:row>
    <x:row r="8">
      <x:c r="A8" s="44" t="str"/>
      <x:c r="B8" s="44" t="str"/>
      <x:c r="C8" s="44" t="str"/>
      <x:c r="D8" s="44" t="str">
        <x:v>HYBRID</x:v>
      </x:c>
      <x:c r="E8" s="44" t="str">
        <x:v>Approved</x:v>
      </x:c>
      <x:c r="F8" s="4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" hidden="0" customWidth="1"/>
    <x:col min="3" max="3" width="18" hidden="0" customWidth="1"/>
    <x:col min="4" max="4" width="13" hidden="0" customWidth="1"/>
    <x:col min="5" max="5" width="14" hidden="0" customWidth="1"/>
    <x:col min="6" max="6" width="3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16" hidden="0" customWidth="1"/>
    <x:col min="12" max="12" width="24" hidden="0" customWidth="1"/>
    <x:col min="13" max="13" width="10" hidden="0" customWidth="1"/>
    <x:col min="14" max="14" width="14" hidden="0" customWidth="1"/>
    <x:col min="15" max="15" width="42" hidden="0" customWidth="1"/>
    <x:col min="16" max="16" width="38" hidden="0" customWidth="1"/>
    <x:col min="17" max="17" width="38" hidden="0" customWidth="1"/>
    <x:col min="18" max="18" width="38" hidden="0" customWidth="1"/>
    <x:col min="19" max="19" width="34" hidden="0" customWidth="1"/>
    <x:col min="20" max="20" width="16" hidden="0" customWidth="1"/>
    <x:col min="21" max="21" width="12" hidden="0" customWidth="1"/>
    <x:col min="22" max="22" width="18" hidden="0" customWidth="1"/>
  </x:cols>
  <x:sheetData>
    <x:row r="1" ht="32" customHeight="1">
      <x:c r="A1" s="5" t="str">
        <x:v>Teacher Answer Key</x:v>
      </x:c>
    </x:row>
    <x:row r="2" ht="26" customHeight="1">
      <x:c r="A2" s="12" t="str">
        <x:v>Private answer key. Do not share this sheet with students.</x:v>
      </x:c>
    </x:row>
    <x:row r="4">
      <x:c r="A4" s="50" t="str">
        <x:v>AssessmentTitle</x:v>
      </x:c>
      <x:c r="B4" s="50" t="str">
        <x:v>UnitNo</x:v>
      </x:c>
      <x:c r="C4" s="50" t="str">
        <x:v>UnitTitle</x:v>
      </x:c>
      <x:c r="D4" s="50" t="str">
        <x:v>QuestionID</x:v>
      </x:c>
      <x:c r="E4" s="50" t="str">
        <x:v>QuestionType</x:v>
      </x:c>
      <x:c r="F4" s="50" t="str">
        <x:v>QuestionText</x:v>
      </x:c>
      <x:c r="G4" s="50" t="str">
        <x:v>OptionA</x:v>
      </x:c>
      <x:c r="H4" s="50" t="str">
        <x:v>OptionB</x:v>
      </x:c>
      <x:c r="I4" s="50" t="str">
        <x:v>OptionC</x:v>
      </x:c>
      <x:c r="J4" s="50" t="str">
        <x:v>OptionD</x:v>
      </x:c>
      <x:c r="K4" s="50" t="str">
        <x:v>CorrectAnswer</x:v>
      </x:c>
      <x:c r="L4" s="50" t="str">
        <x:v>AcceptedAnswers</x:v>
      </x:c>
      <x:c r="M4" s="50" t="str">
        <x:v>Marks</x:v>
      </x:c>
      <x:c r="N4" s="50" t="str">
        <x:v>CaseSensitive</x:v>
      </x:c>
      <x:c r="O4" s="50" t="str">
        <x:v>Explanation</x:v>
      </x:c>
      <x:c r="P4" s="50" t="str">
        <x:v>StarterCode</x:v>
      </x:c>
      <x:c r="Q4" s="50" t="str">
        <x:v>VisibleTestCases</x:v>
      </x:c>
      <x:c r="R4" s="50" t="str">
        <x:v>HiddenTestCases</x:v>
      </x:c>
      <x:c r="S4" s="50" t="str">
        <x:v>ExpectedOutput</x:v>
      </x:c>
      <x:c r="T4" s="50" t="str">
        <x:v>EvaluationMode</x:v>
      </x:c>
      <x:c r="U4" s="50" t="str">
        <x:v>Difficulty</x:v>
      </x:c>
      <x:c r="V4" s="50" t="str">
        <x:v>Tags</x:v>
      </x:c>
    </x:row>
    <x:row r="5">
      <x:c r="A5" s="58" t="str">
        <x:v>Unit 1 - Functions Assessment</x:v>
      </x:c>
      <x:c r="B5" s="58" t="n">
        <x:v>1</x:v>
      </x:c>
      <x:c r="C5" s="58" t="str">
        <x:v>Functions</x:v>
      </x:c>
      <x:c r="D5" s="58" t="str">
        <x:v>Q001</x:v>
      </x:c>
      <x:c r="E5" s="58" t="str">
        <x:v>MCQ</x:v>
      </x:c>
      <x:c r="F5" s="58" t="str">
        <x:v>A subroutine is best described as:</x:v>
      </x:c>
      <x:c r="G5" s="58" t="str">
        <x:v>A small section of code used to perform a specific task</x:v>
      </x:c>
      <x:c r="H5" s="58" t="str">
        <x:v>A hardware device used for input</x:v>
      </x:c>
      <x:c r="I5" s="58" t="str">
        <x:v>A type of database</x:v>
      </x:c>
      <x:c r="J5" s="58" t="str">
        <x:v>A file extension</x:v>
      </x:c>
      <x:c r="K5" s="58" t="str">
        <x:v>A</x:v>
      </x:c>
      <x:c r="L5" s="58" t="str"/>
      <x:c r="M5" s="58" t="n">
        <x:v>1</x:v>
      </x:c>
      <x:c r="N5" s="58" t="str">
        <x:v>FALSE</x:v>
      </x:c>
      <x:c r="O5" s="58" t="str">
        <x:v>A subroutine is a reusable block of code used for a specific task.</x:v>
      </x:c>
      <x:c r="P5" s="58" t="str"/>
      <x:c r="Q5" s="58" t="str"/>
      <x:c r="R5" s="58" t="str"/>
      <x:c r="S5" s="58" t="str"/>
      <x:c r="T5" s="58" t="str">
        <x:v>AUTO</x:v>
      </x:c>
      <x:c r="U5" s="58" t="str">
        <x:v>Easy</x:v>
      </x:c>
      <x:c r="V5" s="58" t="str">
        <x:v>functions,mcq</x:v>
      </x:c>
    </x:row>
    <x:row r="6">
      <x:c r="A6" s="58" t="str">
        <x:v>Unit 1 - Functions Assessment</x:v>
      </x:c>
      <x:c r="B6" s="58" t="n">
        <x:v>1</x:v>
      </x:c>
      <x:c r="C6" s="58" t="str">
        <x:v>Functions</x:v>
      </x:c>
      <x:c r="D6" s="58" t="str">
        <x:v>Q011</x:v>
      </x:c>
      <x:c r="E6" s="58" t="str">
        <x:v>FILLUP</x:v>
      </x:c>
      <x:c r="F6" s="58" t="str">
        <x:v>A function definition which calls itself is called a ______ function.</x:v>
      </x:c>
      <x:c r="G6" s="58" t="str"/>
      <x:c r="H6" s="58" t="str"/>
      <x:c r="I6" s="58" t="str"/>
      <x:c r="J6" s="58" t="str"/>
      <x:c r="K6" s="58" t="str">
        <x:v>recursive</x:v>
      </x:c>
      <x:c r="L6" s="58" t="str">
        <x:v>recursion|recursive</x:v>
      </x:c>
      <x:c r="M6" s="58" t="n">
        <x:v>1</x:v>
      </x:c>
      <x:c r="N6" s="58" t="str">
        <x:v>FALSE</x:v>
      </x:c>
      <x:c r="O6" s="58" t="str">
        <x:v>A function that calls itself is called recursive.</x:v>
      </x:c>
      <x:c r="P6" s="58" t="str"/>
      <x:c r="Q6" s="58" t="str"/>
      <x:c r="R6" s="58" t="str"/>
      <x:c r="S6" s="58" t="str"/>
      <x:c r="T6" s="58" t="str">
        <x:v>AUTO</x:v>
      </x:c>
      <x:c r="U6" s="58" t="str">
        <x:v>Easy</x:v>
      </x:c>
      <x:c r="V6" s="58" t="str">
        <x:v>functions,fillup</x:v>
      </x:c>
    </x:row>
    <x:row r="7">
      <x:c r="A7" s="58" t="str">
        <x:v>Unit 1 - Functions Assessment</x:v>
      </x:c>
      <x:c r="B7" s="58" t="n">
        <x:v>1</x:v>
      </x:c>
      <x:c r="C7" s="58" t="str">
        <x:v>Functions</x:v>
      </x:c>
      <x:c r="D7" s="58" t="str">
        <x:v>Q019</x:v>
      </x:c>
      <x:c r="E7" s="58" t="str">
        <x:v>CODING</x:v>
      </x:c>
      <x:c r="F7" s="58" t="str">
        <x:v>Write a function square(x) that returns the square of x.</x:v>
      </x:c>
      <x:c r="G7" s="58" t="str"/>
      <x:c r="H7" s="58" t="str"/>
      <x:c r="I7" s="58" t="str"/>
      <x:c r="J7" s="58" t="str"/>
      <x:c r="K7" s="58" t="str">
        <x:v>return x * x</x:v>
      </x:c>
      <x:c r="L7" s="58" t="str"/>
      <x:c r="M7" s="58" t="n">
        <x:v>5</x:v>
      </x:c>
      <x:c r="N7" s="58" t="str">
        <x:v>FALSE</x:v>
      </x:c>
      <x:c r="O7" s="58" t="str">
        <x:v>The function should return the product of x and x.</x:v>
      </x:c>
      <x:c r="P7" s="58" t="str">
        <x:v>def square(x):
    # write your code here
    pass</x:v>
      </x:c>
      <x:c r="Q7" s="58" t="str">
        <x:v>Input: square(5)
Expected: 25
Input: square(12)
Expected: 144</x:v>
      </x:c>
      <x:c r="R7" s="58" t="str">
        <x:v>Input: square(-4)
Expected: 16
Input: square(0)
Expected: 0</x:v>
      </x:c>
      <x:c r="S7" s="58" t="str">
        <x:v>Return x * x for every integer x.</x:v>
      </x:c>
      <x:c r="T7" s="58" t="str">
        <x:v>MANUAL</x:v>
      </x:c>
      <x:c r="U7" s="58" t="str">
        <x:v>Easy</x:v>
      </x:c>
      <x:c r="V7" s="58" t="str">
        <x:v>functions,coding</x:v>
      </x:c>
    </x:row>
    <x:row r="8">
      <x:c r="A8" s="58" t="str"/>
      <x:c r="B8" s="58" t="str"/>
      <x:c r="C8" s="58" t="str"/>
      <x:c r="D8" s="58" t="str"/>
      <x:c r="E8" s="58" t="str"/>
      <x:c r="F8" s="58" t="str"/>
      <x:c r="G8" s="58" t="str"/>
      <x:c r="H8" s="58" t="str"/>
      <x:c r="I8" s="58" t="str"/>
      <x:c r="J8" s="58" t="str"/>
      <x:c r="K8" s="58" t="str"/>
      <x:c r="L8" s="58" t="str"/>
      <x:c r="M8" s="58" t="str"/>
      <x:c r="N8" s="58" t="str"/>
      <x:c r="O8" s="58" t="str"/>
      <x:c r="P8" s="58" t="str"/>
      <x:c r="Q8" s="58" t="str"/>
      <x:c r="R8" s="58" t="str"/>
      <x:c r="S8" s="58" t="str"/>
      <x:c r="T8" s="58" t="str"/>
      <x:c r="U8" s="58" t="str"/>
      <x:c r="V8" s="58" t="str"/>
    </x:row>
    <x:row r="9">
      <x:c r="A9" s="58" t="str"/>
      <x:c r="B9" s="58" t="str"/>
      <x:c r="C9" s="58" t="str"/>
      <x:c r="D9" s="58" t="str"/>
      <x:c r="E9" s="58" t="str"/>
      <x:c r="F9" s="58" t="str"/>
      <x:c r="G9" s="58" t="str"/>
      <x:c r="H9" s="58" t="str"/>
      <x:c r="I9" s="58" t="str"/>
      <x:c r="J9" s="58" t="str"/>
      <x:c r="K9" s="58" t="str"/>
      <x:c r="L9" s="58" t="str"/>
      <x:c r="M9" s="58" t="str"/>
      <x:c r="N9" s="58" t="str"/>
      <x:c r="O9" s="58" t="str"/>
      <x:c r="P9" s="58" t="str"/>
      <x:c r="Q9" s="58" t="str"/>
      <x:c r="R9" s="58" t="str"/>
      <x:c r="S9" s="58" t="str"/>
      <x:c r="T9" s="58" t="str"/>
      <x:c r="U9" s="58" t="str"/>
      <x:c r="V9" s="58" t="str"/>
    </x:row>
    <x:row r="10">
      <x:c r="A10" s="58" t="str"/>
      <x:c r="B10" s="58" t="str"/>
      <x:c r="C10" s="58" t="str"/>
      <x:c r="D10" s="58" t="str"/>
      <x:c r="E10" s="58" t="str"/>
      <x:c r="F10" s="58" t="str"/>
      <x:c r="G10" s="58" t="str"/>
      <x:c r="H10" s="58" t="str"/>
      <x:c r="I10" s="58" t="str"/>
      <x:c r="J10" s="58" t="str"/>
      <x:c r="K10" s="58" t="str"/>
      <x:c r="L10" s="58" t="str"/>
      <x:c r="M10" s="58" t="str"/>
      <x:c r="N10" s="58" t="str"/>
      <x:c r="O10" s="58" t="str"/>
      <x:c r="P10" s="58" t="str"/>
      <x:c r="Q10" s="58" t="str"/>
      <x:c r="R10" s="58" t="str"/>
      <x:c r="S10" s="58" t="str"/>
      <x:c r="T10" s="58" t="str"/>
      <x:c r="U10" s="58" t="str"/>
      <x:c r="V10" s="58" t="str"/>
    </x:row>
    <x:row r="11">
      <x:c r="A11" s="58" t="str"/>
      <x:c r="B11" s="58" t="str"/>
      <x:c r="C11" s="58" t="str"/>
      <x:c r="D11" s="58" t="str"/>
      <x:c r="E11" s="58" t="str"/>
      <x:c r="F11" s="58" t="str"/>
      <x:c r="G11" s="58" t="str"/>
      <x:c r="H11" s="58" t="str"/>
      <x:c r="I11" s="58" t="str"/>
      <x:c r="J11" s="58" t="str"/>
      <x:c r="K11" s="58" t="str"/>
      <x:c r="L11" s="58" t="str"/>
      <x:c r="M11" s="58" t="str"/>
      <x:c r="N11" s="58" t="str"/>
      <x:c r="O11" s="58" t="str"/>
      <x:c r="P11" s="58" t="str"/>
      <x:c r="Q11" s="58" t="str"/>
      <x:c r="R11" s="58" t="str"/>
      <x:c r="S11" s="58" t="str"/>
      <x:c r="T11" s="58" t="str"/>
      <x:c r="U11" s="58" t="str"/>
      <x:c r="V11" s="58" t="str"/>
    </x:row>
    <x:row r="12">
      <x:c r="A12" s="58" t="str"/>
      <x:c r="B12" s="58" t="str"/>
      <x:c r="C12" s="58" t="str"/>
      <x:c r="D12" s="58" t="str"/>
      <x:c r="E12" s="58" t="str"/>
      <x:c r="F12" s="58" t="str"/>
      <x:c r="G12" s="58" t="str"/>
      <x:c r="H12" s="58" t="str"/>
      <x:c r="I12" s="58" t="str"/>
      <x:c r="J12" s="58" t="str"/>
      <x:c r="K12" s="58" t="str"/>
      <x:c r="L12" s="58" t="str"/>
      <x:c r="M12" s="58" t="str"/>
      <x:c r="N12" s="58" t="str"/>
      <x:c r="O12" s="58" t="str"/>
      <x:c r="P12" s="58" t="str"/>
      <x:c r="Q12" s="58" t="str"/>
      <x:c r="R12" s="58" t="str"/>
      <x:c r="S12" s="58" t="str"/>
      <x:c r="T12" s="58" t="str"/>
      <x:c r="U12" s="58" t="str"/>
      <x:c r="V12" s="58" t="str"/>
    </x:row>
    <x:row r="13">
      <x:c r="A13" s="58" t="str"/>
      <x:c r="B13" s="58" t="str"/>
      <x:c r="C13" s="58" t="str"/>
      <x:c r="D13" s="58" t="str"/>
      <x:c r="E13" s="58" t="str"/>
      <x:c r="F13" s="58" t="str"/>
      <x:c r="G13" s="58" t="str"/>
      <x:c r="H13" s="58" t="str"/>
      <x:c r="I13" s="58" t="str"/>
      <x:c r="J13" s="58" t="str"/>
      <x:c r="K13" s="58" t="str"/>
      <x:c r="L13" s="58" t="str"/>
      <x:c r="M13" s="58" t="str"/>
      <x:c r="N13" s="58" t="str"/>
      <x:c r="O13" s="58" t="str"/>
      <x:c r="P13" s="58" t="str"/>
      <x:c r="Q13" s="58" t="str"/>
      <x:c r="R13" s="58" t="str"/>
      <x:c r="S13" s="58" t="str"/>
      <x:c r="T13" s="58" t="str"/>
      <x:c r="U13" s="58" t="str"/>
      <x:c r="V13" s="58" t="str"/>
    </x:row>
    <x:row r="14">
      <x:c r="A14" s="58" t="str"/>
      <x:c r="B14" s="58" t="str"/>
      <x:c r="C14" s="58" t="str"/>
      <x:c r="D14" s="58" t="str"/>
      <x:c r="E14" s="58" t="str"/>
      <x:c r="F14" s="58" t="str"/>
      <x:c r="G14" s="58" t="str"/>
      <x:c r="H14" s="58" t="str"/>
      <x:c r="I14" s="58" t="str"/>
      <x:c r="J14" s="58" t="str"/>
      <x:c r="K14" s="58" t="str"/>
      <x:c r="L14" s="58" t="str"/>
      <x:c r="M14" s="58" t="str"/>
      <x:c r="N14" s="58" t="str"/>
      <x:c r="O14" s="58" t="str"/>
      <x:c r="P14" s="58" t="str"/>
      <x:c r="Q14" s="58" t="str"/>
      <x:c r="R14" s="58" t="str"/>
      <x:c r="S14" s="58" t="str"/>
      <x:c r="T14" s="58" t="str"/>
      <x:c r="U14" s="58" t="str"/>
      <x:c r="V14" s="58" t="str"/>
    </x:row>
    <x:row r="15">
      <x:c r="A15" s="58" t="str"/>
      <x:c r="B15" s="58" t="str"/>
      <x:c r="C15" s="58" t="str"/>
      <x:c r="D15" s="58" t="str"/>
      <x:c r="E15" s="58" t="str"/>
      <x:c r="F15" s="58" t="str"/>
      <x:c r="G15" s="58" t="str"/>
      <x:c r="H15" s="58" t="str"/>
      <x:c r="I15" s="58" t="str"/>
      <x:c r="J15" s="58" t="str"/>
      <x:c r="K15" s="58" t="str"/>
      <x:c r="L15" s="58" t="str"/>
      <x:c r="M15" s="58" t="str"/>
      <x:c r="N15" s="58" t="str"/>
      <x:c r="O15" s="58" t="str"/>
      <x:c r="P15" s="58" t="str"/>
      <x:c r="Q15" s="58" t="str"/>
      <x:c r="R15" s="58" t="str"/>
      <x:c r="S15" s="58" t="str"/>
      <x:c r="T15" s="58" t="str"/>
      <x:c r="U15" s="58" t="str"/>
      <x:c r="V15" s="58" t="str"/>
    </x:row>
    <x:row r="16">
      <x:c r="A16" s="58" t="str"/>
      <x:c r="B16" s="58" t="str"/>
      <x:c r="C16" s="58" t="str"/>
      <x:c r="D16" s="58" t="str"/>
      <x:c r="E16" s="58" t="str"/>
      <x:c r="F16" s="58" t="str"/>
      <x:c r="G16" s="58" t="str"/>
      <x:c r="H16" s="58" t="str"/>
      <x:c r="I16" s="58" t="str"/>
      <x:c r="J16" s="58" t="str"/>
      <x:c r="K16" s="58" t="str"/>
      <x:c r="L16" s="58" t="str"/>
      <x:c r="M16" s="58" t="str"/>
      <x:c r="N16" s="58" t="str"/>
      <x:c r="O16" s="58" t="str"/>
      <x:c r="P16" s="58" t="str"/>
      <x:c r="Q16" s="58" t="str"/>
      <x:c r="R16" s="58" t="str"/>
      <x:c r="S16" s="58" t="str"/>
      <x:c r="T16" s="58" t="str"/>
      <x:c r="U16" s="58" t="str"/>
      <x:c r="V16" s="58" t="str"/>
    </x:row>
    <x:row r="17">
      <x:c r="A17" s="58" t="str"/>
      <x:c r="B17" s="58" t="str"/>
      <x:c r="C17" s="58" t="str"/>
      <x:c r="D17" s="58" t="str"/>
      <x:c r="E17" s="58" t="str"/>
      <x:c r="F17" s="58" t="str"/>
      <x:c r="G17" s="58" t="str"/>
      <x:c r="H17" s="58" t="str"/>
      <x:c r="I17" s="58" t="str"/>
      <x:c r="J17" s="58" t="str"/>
      <x:c r="K17" s="58" t="str"/>
      <x:c r="L17" s="58" t="str"/>
      <x:c r="M17" s="58" t="str"/>
      <x:c r="N17" s="58" t="str"/>
      <x:c r="O17" s="58" t="str"/>
      <x:c r="P17" s="58" t="str"/>
      <x:c r="Q17" s="58" t="str"/>
      <x:c r="R17" s="58" t="str"/>
      <x:c r="S17" s="58" t="str"/>
      <x:c r="T17" s="58" t="str"/>
      <x:c r="U17" s="58" t="str"/>
      <x:c r="V17" s="58" t="str"/>
    </x:row>
    <x:row r="18">
      <x:c r="A18" s="58" t="str"/>
      <x:c r="B18" s="58" t="str"/>
      <x:c r="C18" s="58" t="str"/>
      <x:c r="D18" s="58" t="str"/>
      <x:c r="E18" s="58" t="str"/>
      <x:c r="F18" s="58" t="str"/>
      <x:c r="G18" s="58" t="str"/>
      <x:c r="H18" s="58" t="str"/>
      <x:c r="I18" s="58" t="str"/>
      <x:c r="J18" s="58" t="str"/>
      <x:c r="K18" s="58" t="str"/>
      <x:c r="L18" s="58" t="str"/>
      <x:c r="M18" s="58" t="str"/>
      <x:c r="N18" s="58" t="str"/>
      <x:c r="O18" s="58" t="str"/>
      <x:c r="P18" s="58" t="str"/>
      <x:c r="Q18" s="58" t="str"/>
      <x:c r="R18" s="58" t="str"/>
      <x:c r="S18" s="58" t="str"/>
      <x:c r="T18" s="58" t="str"/>
      <x:c r="U18" s="58" t="str"/>
      <x:c r="V18" s="58" t="str"/>
    </x:row>
    <x:row r="19">
      <x:c r="A19" s="58" t="str"/>
      <x:c r="B19" s="58" t="str"/>
      <x:c r="C19" s="58" t="str"/>
      <x:c r="D19" s="58" t="str"/>
      <x:c r="E19" s="58" t="str"/>
      <x:c r="F19" s="58" t="str"/>
      <x:c r="G19" s="58" t="str"/>
      <x:c r="H19" s="58" t="str"/>
      <x:c r="I19" s="58" t="str"/>
      <x:c r="J19" s="58" t="str"/>
      <x:c r="K19" s="58" t="str"/>
      <x:c r="L19" s="58" t="str"/>
      <x:c r="M19" s="58" t="str"/>
      <x:c r="N19" s="58" t="str"/>
      <x:c r="O19" s="58" t="str"/>
      <x:c r="P19" s="58" t="str"/>
      <x:c r="Q19" s="58" t="str"/>
      <x:c r="R19" s="58" t="str"/>
      <x:c r="S19" s="58" t="str"/>
      <x:c r="T19" s="58" t="str"/>
      <x:c r="U19" s="58" t="str"/>
      <x:c r="V19" s="58" t="str"/>
    </x:row>
    <x:row r="20">
      <x:c r="A20" s="58" t="str"/>
      <x:c r="B20" s="58" t="str"/>
      <x:c r="C20" s="58" t="str"/>
      <x:c r="D20" s="58" t="str"/>
      <x:c r="E20" s="58" t="str"/>
      <x:c r="F20" s="58" t="str"/>
      <x:c r="G20" s="58" t="str"/>
      <x:c r="H20" s="58" t="str"/>
      <x:c r="I20" s="58" t="str"/>
      <x:c r="J20" s="58" t="str"/>
      <x:c r="K20" s="58" t="str"/>
      <x:c r="L20" s="58" t="str"/>
      <x:c r="M20" s="58" t="str"/>
      <x:c r="N20" s="58" t="str"/>
      <x:c r="O20" s="58" t="str"/>
      <x:c r="P20" s="58" t="str"/>
      <x:c r="Q20" s="58" t="str"/>
      <x:c r="R20" s="58" t="str"/>
      <x:c r="S20" s="58" t="str"/>
      <x:c r="T20" s="58" t="str"/>
      <x:c r="U20" s="58" t="str"/>
      <x:c r="V20" s="58" t="str"/>
    </x:row>
    <x:row r="21">
      <x:c r="A21" s="58" t="str"/>
      <x:c r="B21" s="58" t="str"/>
      <x:c r="C21" s="58" t="str"/>
      <x:c r="D21" s="58" t="str"/>
      <x:c r="E21" s="58" t="str"/>
      <x:c r="F21" s="58" t="str"/>
      <x:c r="G21" s="58" t="str"/>
      <x:c r="H21" s="58" t="str"/>
      <x:c r="I21" s="58" t="str"/>
      <x:c r="J21" s="58" t="str"/>
      <x:c r="K21" s="58" t="str"/>
      <x:c r="L21" s="58" t="str"/>
      <x:c r="M21" s="58" t="str"/>
      <x:c r="N21" s="58" t="str"/>
      <x:c r="O21" s="58" t="str"/>
      <x:c r="P21" s="58" t="str"/>
      <x:c r="Q21" s="58" t="str"/>
      <x:c r="R21" s="58" t="str"/>
      <x:c r="S21" s="58" t="str"/>
      <x:c r="T21" s="58" t="str"/>
      <x:c r="U21" s="58" t="str"/>
      <x:c r="V21" s="58" t="str"/>
    </x:row>
    <x:row r="22">
      <x:c r="A22" s="58" t="str"/>
      <x:c r="B22" s="58" t="str"/>
      <x:c r="C22" s="58" t="str"/>
      <x:c r="D22" s="58" t="str"/>
      <x:c r="E22" s="58" t="str"/>
      <x:c r="F22" s="58" t="str"/>
      <x:c r="G22" s="58" t="str"/>
      <x:c r="H22" s="58" t="str"/>
      <x:c r="I22" s="58" t="str"/>
      <x:c r="J22" s="58" t="str"/>
      <x:c r="K22" s="58" t="str"/>
      <x:c r="L22" s="58" t="str"/>
      <x:c r="M22" s="58" t="str"/>
      <x:c r="N22" s="58" t="str"/>
      <x:c r="O22" s="58" t="str"/>
      <x:c r="P22" s="58" t="str"/>
      <x:c r="Q22" s="58" t="str"/>
      <x:c r="R22" s="58" t="str"/>
      <x:c r="S22" s="58" t="str"/>
      <x:c r="T22" s="58" t="str"/>
      <x:c r="U22" s="58" t="str"/>
      <x:c r="V22" s="58" t="str"/>
    </x:row>
    <x:row r="23">
      <x:c r="A23" s="58" t="str"/>
      <x:c r="B23" s="58" t="str"/>
      <x:c r="C23" s="58" t="str"/>
      <x:c r="D23" s="58" t="str"/>
      <x:c r="E23" s="58" t="str"/>
      <x:c r="F23" s="58" t="str"/>
      <x:c r="G23" s="58" t="str"/>
      <x:c r="H23" s="58" t="str"/>
      <x:c r="I23" s="58" t="str"/>
      <x:c r="J23" s="58" t="str"/>
      <x:c r="K23" s="58" t="str"/>
      <x:c r="L23" s="58" t="str"/>
      <x:c r="M23" s="58" t="str"/>
      <x:c r="N23" s="58" t="str"/>
      <x:c r="O23" s="58" t="str"/>
      <x:c r="P23" s="58" t="str"/>
      <x:c r="Q23" s="58" t="str"/>
      <x:c r="R23" s="58" t="str"/>
      <x:c r="S23" s="58" t="str"/>
      <x:c r="T23" s="58" t="str"/>
      <x:c r="U23" s="58" t="str"/>
      <x:c r="V23" s="58" t="str"/>
    </x:row>
    <x:row r="24">
      <x:c r="A24" s="58" t="str"/>
      <x:c r="B24" s="58" t="str"/>
      <x:c r="C24" s="58" t="str"/>
      <x:c r="D24" s="58" t="str"/>
      <x:c r="E24" s="58" t="str"/>
      <x:c r="F24" s="58" t="str"/>
      <x:c r="G24" s="58" t="str"/>
      <x:c r="H24" s="58" t="str"/>
      <x:c r="I24" s="58" t="str"/>
      <x:c r="J24" s="58" t="str"/>
      <x:c r="K24" s="58" t="str"/>
      <x:c r="L24" s="58" t="str"/>
      <x:c r="M24" s="58" t="str"/>
      <x:c r="N24" s="58" t="str"/>
      <x:c r="O24" s="58" t="str"/>
      <x:c r="P24" s="58" t="str"/>
      <x:c r="Q24" s="58" t="str"/>
      <x:c r="R24" s="58" t="str"/>
      <x:c r="S24" s="58" t="str"/>
      <x:c r="T24" s="58" t="str"/>
      <x:c r="U24" s="58" t="str"/>
      <x:c r="V24" s="58" t="str"/>
    </x:row>
    <x:row r="25">
      <x:c r="A25" s="58" t="str"/>
      <x:c r="B25" s="58" t="str"/>
      <x:c r="C25" s="58" t="str"/>
      <x:c r="D25" s="58" t="str"/>
      <x:c r="E25" s="58" t="str"/>
      <x:c r="F25" s="58" t="str"/>
      <x:c r="G25" s="58" t="str"/>
      <x:c r="H25" s="58" t="str"/>
      <x:c r="I25" s="58" t="str"/>
      <x:c r="J25" s="58" t="str"/>
      <x:c r="K25" s="58" t="str"/>
      <x:c r="L25" s="58" t="str"/>
      <x:c r="M25" s="58" t="str"/>
      <x:c r="N25" s="58" t="str"/>
      <x:c r="O25" s="58" t="str"/>
      <x:c r="P25" s="58" t="str"/>
      <x:c r="Q25" s="58" t="str"/>
      <x:c r="R25" s="58" t="str"/>
      <x:c r="S25" s="58" t="str"/>
      <x:c r="T25" s="58" t="str"/>
      <x:c r="U25" s="58" t="str"/>
      <x:c r="V25" s="58" t="str"/>
    </x:row>
    <x:row r="26">
      <x:c r="A26" s="58" t="str"/>
      <x:c r="B26" s="58" t="str"/>
      <x:c r="C26" s="58" t="str"/>
      <x:c r="D26" s="58" t="str"/>
      <x:c r="E26" s="58" t="str"/>
      <x:c r="F26" s="58" t="str"/>
      <x:c r="G26" s="58" t="str"/>
      <x:c r="H26" s="58" t="str"/>
      <x:c r="I26" s="58" t="str"/>
      <x:c r="J26" s="58" t="str"/>
      <x:c r="K26" s="58" t="str"/>
      <x:c r="L26" s="58" t="str"/>
      <x:c r="M26" s="58" t="str"/>
      <x:c r="N26" s="58" t="str"/>
      <x:c r="O26" s="58" t="str"/>
      <x:c r="P26" s="58" t="str"/>
      <x:c r="Q26" s="58" t="str"/>
      <x:c r="R26" s="58" t="str"/>
      <x:c r="S26" s="58" t="str"/>
      <x:c r="T26" s="58" t="str"/>
      <x:c r="U26" s="58" t="str"/>
      <x:c r="V26" s="58" t="str"/>
    </x:row>
    <x:row r="27">
      <x:c r="A27" s="58" t="str"/>
      <x:c r="B27" s="58" t="str"/>
      <x:c r="C27" s="58" t="str"/>
      <x:c r="D27" s="58" t="str"/>
      <x:c r="E27" s="58" t="str"/>
      <x:c r="F27" s="58" t="str"/>
      <x:c r="G27" s="58" t="str"/>
      <x:c r="H27" s="58" t="str"/>
      <x:c r="I27" s="58" t="str"/>
      <x:c r="J27" s="58" t="str"/>
      <x:c r="K27" s="58" t="str"/>
      <x:c r="L27" s="58" t="str"/>
      <x:c r="M27" s="58" t="str"/>
      <x:c r="N27" s="58" t="str"/>
      <x:c r="O27" s="58" t="str"/>
      <x:c r="P27" s="58" t="str"/>
      <x:c r="Q27" s="58" t="str"/>
      <x:c r="R27" s="58" t="str"/>
      <x:c r="S27" s="58" t="str"/>
      <x:c r="T27" s="58" t="str"/>
      <x:c r="U27" s="58" t="str"/>
      <x:c r="V27" s="58" t="str"/>
    </x:row>
    <x:row r="28">
      <x:c r="A28" s="58" t="str"/>
      <x:c r="B28" s="58" t="str"/>
      <x:c r="C28" s="58" t="str"/>
      <x:c r="D28" s="58" t="str"/>
      <x:c r="E28" s="58" t="str"/>
      <x:c r="F28" s="58" t="str"/>
      <x:c r="G28" s="58" t="str"/>
      <x:c r="H28" s="58" t="str"/>
      <x:c r="I28" s="58" t="str"/>
      <x:c r="J28" s="58" t="str"/>
      <x:c r="K28" s="58" t="str"/>
      <x:c r="L28" s="58" t="str"/>
      <x:c r="M28" s="58" t="str"/>
      <x:c r="N28" s="58" t="str"/>
      <x:c r="O28" s="58" t="str"/>
      <x:c r="P28" s="58" t="str"/>
      <x:c r="Q28" s="58" t="str"/>
      <x:c r="R28" s="58" t="str"/>
      <x:c r="S28" s="58" t="str"/>
      <x:c r="T28" s="58" t="str"/>
      <x:c r="U28" s="58" t="str"/>
      <x:c r="V28" s="58" t="str"/>
    </x:row>
    <x:row r="29">
      <x:c r="A29" s="58" t="str"/>
      <x:c r="B29" s="58" t="str"/>
      <x:c r="C29" s="58" t="str"/>
      <x:c r="D29" s="58" t="str"/>
      <x:c r="E29" s="58" t="str"/>
      <x:c r="F29" s="58" t="str"/>
      <x:c r="G29" s="58" t="str"/>
      <x:c r="H29" s="58" t="str"/>
      <x:c r="I29" s="58" t="str"/>
      <x:c r="J29" s="58" t="str"/>
      <x:c r="K29" s="58" t="str"/>
      <x:c r="L29" s="58" t="str"/>
      <x:c r="M29" s="58" t="str"/>
      <x:c r="N29" s="58" t="str"/>
      <x:c r="O29" s="58" t="str"/>
      <x:c r="P29" s="58" t="str"/>
      <x:c r="Q29" s="58" t="str"/>
      <x:c r="R29" s="58" t="str"/>
      <x:c r="S29" s="58" t="str"/>
      <x:c r="T29" s="58" t="str"/>
      <x:c r="U29" s="58" t="str"/>
      <x:c r="V29" s="58" t="str"/>
    </x:row>
    <x:row r="30">
      <x:c r="A30" s="58" t="str"/>
      <x:c r="B30" s="58" t="str"/>
      <x:c r="C30" s="58" t="str"/>
      <x:c r="D30" s="58" t="str"/>
      <x:c r="E30" s="58" t="str"/>
      <x:c r="F30" s="58" t="str"/>
      <x:c r="G30" s="58" t="str"/>
      <x:c r="H30" s="58" t="str"/>
      <x:c r="I30" s="58" t="str"/>
      <x:c r="J30" s="58" t="str"/>
      <x:c r="K30" s="58" t="str"/>
      <x:c r="L30" s="58" t="str"/>
      <x:c r="M30" s="58" t="str"/>
      <x:c r="N30" s="58" t="str"/>
      <x:c r="O30" s="58" t="str"/>
      <x:c r="P30" s="58" t="str"/>
      <x:c r="Q30" s="58" t="str"/>
      <x:c r="R30" s="58" t="str"/>
      <x:c r="S30" s="58" t="str"/>
      <x:c r="T30" s="58" t="str"/>
      <x:c r="U30" s="58" t="str"/>
      <x:c r="V30" s="58" t="str"/>
    </x:row>
    <x:row r="31">
      <x:c r="A31" s="58" t="str"/>
      <x:c r="B31" s="58" t="str"/>
      <x:c r="C31" s="58" t="str"/>
      <x:c r="D31" s="58" t="str"/>
      <x:c r="E31" s="58" t="str"/>
      <x:c r="F31" s="58" t="str"/>
      <x:c r="G31" s="58" t="str"/>
      <x:c r="H31" s="58" t="str"/>
      <x:c r="I31" s="58" t="str"/>
      <x:c r="J31" s="58" t="str"/>
      <x:c r="K31" s="58" t="str"/>
      <x:c r="L31" s="58" t="str"/>
      <x:c r="M31" s="58" t="str"/>
      <x:c r="N31" s="58" t="str"/>
      <x:c r="O31" s="58" t="str"/>
      <x:c r="P31" s="58" t="str"/>
      <x:c r="Q31" s="58" t="str"/>
      <x:c r="R31" s="58" t="str"/>
      <x:c r="S31" s="58" t="str"/>
      <x:c r="T31" s="58" t="str"/>
      <x:c r="U31" s="58" t="str"/>
      <x:c r="V31" s="58" t="str"/>
    </x:row>
    <x:row r="32">
      <x:c r="A32" s="58" t="str"/>
      <x:c r="B32" s="58" t="str"/>
      <x:c r="C32" s="58" t="str"/>
      <x:c r="D32" s="58" t="str"/>
      <x:c r="E32" s="58" t="str"/>
      <x:c r="F32" s="58" t="str"/>
      <x:c r="G32" s="58" t="str"/>
      <x:c r="H32" s="58" t="str"/>
      <x:c r="I32" s="58" t="str"/>
      <x:c r="J32" s="58" t="str"/>
      <x:c r="K32" s="58" t="str"/>
      <x:c r="L32" s="58" t="str"/>
      <x:c r="M32" s="58" t="str"/>
      <x:c r="N32" s="58" t="str"/>
      <x:c r="O32" s="58" t="str"/>
      <x:c r="P32" s="58" t="str"/>
      <x:c r="Q32" s="58" t="str"/>
      <x:c r="R32" s="58" t="str"/>
      <x:c r="S32" s="58" t="str"/>
      <x:c r="T32" s="58" t="str"/>
      <x:c r="U32" s="58" t="str"/>
      <x:c r="V32" s="58" t="str"/>
    </x:row>
    <x:row r="33">
      <x:c r="A33" s="58" t="str"/>
      <x:c r="B33" s="58" t="str"/>
      <x:c r="C33" s="58" t="str"/>
      <x:c r="D33" s="58" t="str"/>
      <x:c r="E33" s="58" t="str"/>
      <x:c r="F33" s="58" t="str"/>
      <x:c r="G33" s="58" t="str"/>
      <x:c r="H33" s="58" t="str"/>
      <x:c r="I33" s="58" t="str"/>
      <x:c r="J33" s="58" t="str"/>
      <x:c r="K33" s="58" t="str"/>
      <x:c r="L33" s="58" t="str"/>
      <x:c r="M33" s="58" t="str"/>
      <x:c r="N33" s="58" t="str"/>
      <x:c r="O33" s="58" t="str"/>
      <x:c r="P33" s="58" t="str"/>
      <x:c r="Q33" s="58" t="str"/>
      <x:c r="R33" s="58" t="str"/>
      <x:c r="S33" s="58" t="str"/>
      <x:c r="T33" s="58" t="str"/>
      <x:c r="U33" s="58" t="str"/>
      <x:c r="V33" s="58" t="str"/>
    </x:row>
    <x:row r="34">
      <x:c r="A34" s="58" t="str"/>
      <x:c r="B34" s="58" t="str"/>
      <x:c r="C34" s="58" t="str"/>
      <x:c r="D34" s="58" t="str"/>
      <x:c r="E34" s="58" t="str"/>
      <x:c r="F34" s="58" t="str"/>
      <x:c r="G34" s="58" t="str"/>
      <x:c r="H34" s="58" t="str"/>
      <x:c r="I34" s="58" t="str"/>
      <x:c r="J34" s="58" t="str"/>
      <x:c r="K34" s="58" t="str"/>
      <x:c r="L34" s="58" t="str"/>
      <x:c r="M34" s="58" t="str"/>
      <x:c r="N34" s="58" t="str"/>
      <x:c r="O34" s="58" t="str"/>
      <x:c r="P34" s="58" t="str"/>
      <x:c r="Q34" s="58" t="str"/>
      <x:c r="R34" s="58" t="str"/>
      <x:c r="S34" s="58" t="str"/>
      <x:c r="T34" s="58" t="str"/>
      <x:c r="U34" s="58" t="str"/>
      <x:c r="V34" s="58" t="str"/>
    </x:row>
    <x:row r="35">
      <x:c r="A35" s="58" t="str"/>
      <x:c r="B35" s="58" t="str"/>
      <x:c r="C35" s="58" t="str"/>
      <x:c r="D35" s="58" t="str"/>
      <x:c r="E35" s="58" t="str"/>
      <x:c r="F35" s="58" t="str"/>
      <x:c r="G35" s="58" t="str"/>
      <x:c r="H35" s="58" t="str"/>
      <x:c r="I35" s="58" t="str"/>
      <x:c r="J35" s="58" t="str"/>
      <x:c r="K35" s="58" t="str"/>
      <x:c r="L35" s="58" t="str"/>
      <x:c r="M35" s="58" t="str"/>
      <x:c r="N35" s="58" t="str"/>
      <x:c r="O35" s="58" t="str"/>
      <x:c r="P35" s="58" t="str"/>
      <x:c r="Q35" s="58" t="str"/>
      <x:c r="R35" s="58" t="str"/>
      <x:c r="S35" s="58" t="str"/>
      <x:c r="T35" s="58" t="str"/>
      <x:c r="U35" s="58" t="str"/>
      <x:c r="V35" s="58" t="str"/>
    </x:row>
    <x:row r="36">
      <x:c r="A36" s="58" t="str"/>
      <x:c r="B36" s="58" t="str"/>
      <x:c r="C36" s="58" t="str"/>
      <x:c r="D36" s="58" t="str"/>
      <x:c r="E36" s="58" t="str"/>
      <x:c r="F36" s="58" t="str"/>
      <x:c r="G36" s="58" t="str"/>
      <x:c r="H36" s="58" t="str"/>
      <x:c r="I36" s="58" t="str"/>
      <x:c r="J36" s="58" t="str"/>
      <x:c r="K36" s="58" t="str"/>
      <x:c r="L36" s="58" t="str"/>
      <x:c r="M36" s="58" t="str"/>
      <x:c r="N36" s="58" t="str"/>
      <x:c r="O36" s="58" t="str"/>
      <x:c r="P36" s="58" t="str"/>
      <x:c r="Q36" s="58" t="str"/>
      <x:c r="R36" s="58" t="str"/>
      <x:c r="S36" s="58" t="str"/>
      <x:c r="T36" s="58" t="str"/>
      <x:c r="U36" s="58" t="str"/>
      <x:c r="V36" s="58" t="str"/>
    </x:row>
    <x:row r="37">
      <x:c r="A37" s="58" t="str"/>
      <x:c r="B37" s="58" t="str"/>
      <x:c r="C37" s="58" t="str"/>
      <x:c r="D37" s="58" t="str"/>
      <x:c r="E37" s="58" t="str"/>
      <x:c r="F37" s="58" t="str"/>
      <x:c r="G37" s="58" t="str"/>
      <x:c r="H37" s="58" t="str"/>
      <x:c r="I37" s="58" t="str"/>
      <x:c r="J37" s="58" t="str"/>
      <x:c r="K37" s="58" t="str"/>
      <x:c r="L37" s="58" t="str"/>
      <x:c r="M37" s="58" t="str"/>
      <x:c r="N37" s="58" t="str"/>
      <x:c r="O37" s="58" t="str"/>
      <x:c r="P37" s="58" t="str"/>
      <x:c r="Q37" s="58" t="str"/>
      <x:c r="R37" s="58" t="str"/>
      <x:c r="S37" s="58" t="str"/>
      <x:c r="T37" s="58" t="str"/>
      <x:c r="U37" s="58" t="str"/>
      <x:c r="V37" s="58" t="str"/>
    </x:row>
    <x:row r="38">
      <x:c r="A38" s="58" t="str"/>
      <x:c r="B38" s="58" t="str"/>
      <x:c r="C38" s="58" t="str"/>
      <x:c r="D38" s="58" t="str"/>
      <x:c r="E38" s="58" t="str"/>
      <x:c r="F38" s="58" t="str"/>
      <x:c r="G38" s="58" t="str"/>
      <x:c r="H38" s="58" t="str"/>
      <x:c r="I38" s="58" t="str"/>
      <x:c r="J38" s="58" t="str"/>
      <x:c r="K38" s="58" t="str"/>
      <x:c r="L38" s="58" t="str"/>
      <x:c r="M38" s="58" t="str"/>
      <x:c r="N38" s="58" t="str"/>
      <x:c r="O38" s="58" t="str"/>
      <x:c r="P38" s="58" t="str"/>
      <x:c r="Q38" s="58" t="str"/>
      <x:c r="R38" s="58" t="str"/>
      <x:c r="S38" s="58" t="str"/>
      <x:c r="T38" s="58" t="str"/>
      <x:c r="U38" s="58" t="str"/>
      <x:c r="V38" s="58" t="str"/>
    </x:row>
    <x:row r="39">
      <x:c r="A39" s="58" t="str"/>
      <x:c r="B39" s="58" t="str"/>
      <x:c r="C39" s="58" t="str"/>
      <x:c r="D39" s="58" t="str"/>
      <x:c r="E39" s="58" t="str"/>
      <x:c r="F39" s="58" t="str"/>
      <x:c r="G39" s="58" t="str"/>
      <x:c r="H39" s="58" t="str"/>
      <x:c r="I39" s="58" t="str"/>
      <x:c r="J39" s="58" t="str"/>
      <x:c r="K39" s="58" t="str"/>
      <x:c r="L39" s="58" t="str"/>
      <x:c r="M39" s="58" t="str"/>
      <x:c r="N39" s="58" t="str"/>
      <x:c r="O39" s="58" t="str"/>
      <x:c r="P39" s="58" t="str"/>
      <x:c r="Q39" s="58" t="str"/>
      <x:c r="R39" s="58" t="str"/>
      <x:c r="S39" s="58" t="str"/>
      <x:c r="T39" s="58" t="str"/>
      <x:c r="U39" s="58" t="str"/>
      <x:c r="V39" s="58" t="str"/>
    </x:row>
    <x:row r="40">
      <x:c r="A40" s="58" t="str"/>
      <x:c r="B40" s="58" t="str"/>
      <x:c r="C40" s="58" t="str"/>
      <x:c r="D40" s="58" t="str"/>
      <x:c r="E40" s="58" t="str"/>
      <x:c r="F40" s="58" t="str"/>
      <x:c r="G40" s="58" t="str"/>
      <x:c r="H40" s="58" t="str"/>
      <x:c r="I40" s="58" t="str"/>
      <x:c r="J40" s="58" t="str"/>
      <x:c r="K40" s="58" t="str"/>
      <x:c r="L40" s="58" t="str"/>
      <x:c r="M40" s="58" t="str"/>
      <x:c r="N40" s="58" t="str"/>
      <x:c r="O40" s="58" t="str"/>
      <x:c r="P40" s="58" t="str"/>
      <x:c r="Q40" s="58" t="str"/>
      <x:c r="R40" s="58" t="str"/>
      <x:c r="S40" s="58" t="str"/>
      <x:c r="T40" s="58" t="str"/>
      <x:c r="U40" s="58" t="str"/>
      <x:c r="V40" s="58" t="str"/>
    </x:row>
    <x:row r="41">
      <x:c r="A41" s="58" t="str"/>
      <x:c r="B41" s="58" t="str"/>
      <x:c r="C41" s="58" t="str"/>
      <x:c r="D41" s="58" t="str"/>
      <x:c r="E41" s="58" t="str"/>
      <x:c r="F41" s="58" t="str"/>
      <x:c r="G41" s="58" t="str"/>
      <x:c r="H41" s="58" t="str"/>
      <x:c r="I41" s="58" t="str"/>
      <x:c r="J41" s="58" t="str"/>
      <x:c r="K41" s="58" t="str"/>
      <x:c r="L41" s="58" t="str"/>
      <x:c r="M41" s="58" t="str"/>
      <x:c r="N41" s="58" t="str"/>
      <x:c r="O41" s="58" t="str"/>
      <x:c r="P41" s="58" t="str"/>
      <x:c r="Q41" s="58" t="str"/>
      <x:c r="R41" s="58" t="str"/>
      <x:c r="S41" s="58" t="str"/>
      <x:c r="T41" s="58" t="str"/>
      <x:c r="U41" s="58" t="str"/>
      <x:c r="V41" s="58" t="str"/>
    </x:row>
    <x:row r="42">
      <x:c r="A42" s="58" t="str"/>
      <x:c r="B42" s="58" t="str"/>
      <x:c r="C42" s="58" t="str"/>
      <x:c r="D42" s="58" t="str"/>
      <x:c r="E42" s="58" t="str"/>
      <x:c r="F42" s="58" t="str"/>
      <x:c r="G42" s="58" t="str"/>
      <x:c r="H42" s="58" t="str"/>
      <x:c r="I42" s="58" t="str"/>
      <x:c r="J42" s="58" t="str"/>
      <x:c r="K42" s="58" t="str"/>
      <x:c r="L42" s="58" t="str"/>
      <x:c r="M42" s="58" t="str"/>
      <x:c r="N42" s="58" t="str"/>
      <x:c r="O42" s="58" t="str"/>
      <x:c r="P42" s="58" t="str"/>
      <x:c r="Q42" s="58" t="str"/>
      <x:c r="R42" s="58" t="str"/>
      <x:c r="S42" s="58" t="str"/>
      <x:c r="T42" s="58" t="str"/>
      <x:c r="U42" s="58" t="str"/>
      <x:c r="V42" s="58" t="str"/>
    </x:row>
    <x:row r="43">
      <x:c r="A43" s="58" t="str"/>
      <x:c r="B43" s="58" t="str"/>
      <x:c r="C43" s="58" t="str"/>
      <x:c r="D43" s="58" t="str"/>
      <x:c r="E43" s="58" t="str"/>
      <x:c r="F43" s="58" t="str"/>
      <x:c r="G43" s="58" t="str"/>
      <x:c r="H43" s="58" t="str"/>
      <x:c r="I43" s="58" t="str"/>
      <x:c r="J43" s="58" t="str"/>
      <x:c r="K43" s="58" t="str"/>
      <x:c r="L43" s="58" t="str"/>
      <x:c r="M43" s="58" t="str"/>
      <x:c r="N43" s="58" t="str"/>
      <x:c r="O43" s="58" t="str"/>
      <x:c r="P43" s="58" t="str"/>
      <x:c r="Q43" s="58" t="str"/>
      <x:c r="R43" s="58" t="str"/>
      <x:c r="S43" s="58" t="str"/>
      <x:c r="T43" s="58" t="str"/>
      <x:c r="U43" s="58" t="str"/>
      <x:c r="V43" s="58" t="str"/>
    </x:row>
    <x:row r="44">
      <x:c r="A44" s="58" t="str"/>
      <x:c r="B44" s="58" t="str"/>
      <x:c r="C44" s="58" t="str"/>
      <x:c r="D44" s="58" t="str"/>
      <x:c r="E44" s="58" t="str"/>
      <x:c r="F44" s="58" t="str"/>
      <x:c r="G44" s="58" t="str"/>
      <x:c r="H44" s="58" t="str"/>
      <x:c r="I44" s="58" t="str"/>
      <x:c r="J44" s="58" t="str"/>
      <x:c r="K44" s="58" t="str"/>
      <x:c r="L44" s="58" t="str"/>
      <x:c r="M44" s="58" t="str"/>
      <x:c r="N44" s="58" t="str"/>
      <x:c r="O44" s="58" t="str"/>
      <x:c r="P44" s="58" t="str"/>
      <x:c r="Q44" s="58" t="str"/>
      <x:c r="R44" s="58" t="str"/>
      <x:c r="S44" s="58" t="str"/>
      <x:c r="T44" s="58" t="str"/>
      <x:c r="U44" s="58" t="str"/>
      <x:c r="V44" s="58" t="str"/>
    </x:row>
    <x:row r="45">
      <x:c r="A45" s="58" t="str"/>
      <x:c r="B45" s="58" t="str"/>
      <x:c r="C45" s="58" t="str"/>
      <x:c r="D45" s="58" t="str"/>
      <x:c r="E45" s="58" t="str"/>
      <x:c r="F45" s="58" t="str"/>
      <x:c r="G45" s="58" t="str"/>
      <x:c r="H45" s="58" t="str"/>
      <x:c r="I45" s="58" t="str"/>
      <x:c r="J45" s="58" t="str"/>
      <x:c r="K45" s="58" t="str"/>
      <x:c r="L45" s="58" t="str"/>
      <x:c r="M45" s="58" t="str"/>
      <x:c r="N45" s="58" t="str"/>
      <x:c r="O45" s="58" t="str"/>
      <x:c r="P45" s="58" t="str"/>
      <x:c r="Q45" s="58" t="str"/>
      <x:c r="R45" s="58" t="str"/>
      <x:c r="S45" s="58" t="str"/>
      <x:c r="T45" s="58" t="str"/>
      <x:c r="U45" s="58" t="str"/>
      <x:c r="V45" s="58" t="str"/>
    </x:row>
    <x:row r="46">
      <x:c r="A46" s="58" t="str"/>
      <x:c r="B46" s="58" t="str"/>
      <x:c r="C46" s="58" t="str"/>
      <x:c r="D46" s="58" t="str"/>
      <x:c r="E46" s="58" t="str"/>
      <x:c r="F46" s="58" t="str"/>
      <x:c r="G46" s="58" t="str"/>
      <x:c r="H46" s="58" t="str"/>
      <x:c r="I46" s="58" t="str"/>
      <x:c r="J46" s="58" t="str"/>
      <x:c r="K46" s="58" t="str"/>
      <x:c r="L46" s="58" t="str"/>
      <x:c r="M46" s="58" t="str"/>
      <x:c r="N46" s="58" t="str"/>
      <x:c r="O46" s="58" t="str"/>
      <x:c r="P46" s="58" t="str"/>
      <x:c r="Q46" s="58" t="str"/>
      <x:c r="R46" s="58" t="str"/>
      <x:c r="S46" s="58" t="str"/>
      <x:c r="T46" s="58" t="str"/>
      <x:c r="U46" s="58" t="str"/>
      <x:c r="V46" s="58" t="str"/>
    </x:row>
    <x:row r="47">
      <x:c r="A47" s="58" t="str"/>
      <x:c r="B47" s="58" t="str"/>
      <x:c r="C47" s="58" t="str"/>
      <x:c r="D47" s="58" t="str"/>
      <x:c r="E47" s="58" t="str"/>
      <x:c r="F47" s="58" t="str"/>
      <x:c r="G47" s="58" t="str"/>
      <x:c r="H47" s="58" t="str"/>
      <x:c r="I47" s="58" t="str"/>
      <x:c r="J47" s="58" t="str"/>
      <x:c r="K47" s="58" t="str"/>
      <x:c r="L47" s="58" t="str"/>
      <x:c r="M47" s="58" t="str"/>
      <x:c r="N47" s="58" t="str"/>
      <x:c r="O47" s="58" t="str"/>
      <x:c r="P47" s="58" t="str"/>
      <x:c r="Q47" s="58" t="str"/>
      <x:c r="R47" s="58" t="str"/>
      <x:c r="S47" s="58" t="str"/>
      <x:c r="T47" s="58" t="str"/>
      <x:c r="U47" s="58" t="str"/>
      <x:c r="V47" s="58" t="str"/>
    </x:row>
    <x:row r="48">
      <x:c r="A48" s="58" t="str"/>
      <x:c r="B48" s="58" t="str"/>
      <x:c r="C48" s="58" t="str"/>
      <x:c r="D48" s="58" t="str"/>
      <x:c r="E48" s="58" t="str"/>
      <x:c r="F48" s="58" t="str"/>
      <x:c r="G48" s="58" t="str"/>
      <x:c r="H48" s="58" t="str"/>
      <x:c r="I48" s="58" t="str"/>
      <x:c r="J48" s="58" t="str"/>
      <x:c r="K48" s="58" t="str"/>
      <x:c r="L48" s="58" t="str"/>
      <x:c r="M48" s="58" t="str"/>
      <x:c r="N48" s="58" t="str"/>
      <x:c r="O48" s="58" t="str"/>
      <x:c r="P48" s="58" t="str"/>
      <x:c r="Q48" s="58" t="str"/>
      <x:c r="R48" s="58" t="str"/>
      <x:c r="S48" s="58" t="str"/>
      <x:c r="T48" s="58" t="str"/>
      <x:c r="U48" s="58" t="str"/>
      <x:c r="V48" s="58" t="str"/>
    </x:row>
    <x:row r="49">
      <x:c r="A49" s="58" t="str"/>
      <x:c r="B49" s="58" t="str"/>
      <x:c r="C49" s="58" t="str"/>
      <x:c r="D49" s="58" t="str"/>
      <x:c r="E49" s="58" t="str"/>
      <x:c r="F49" s="58" t="str"/>
      <x:c r="G49" s="58" t="str"/>
      <x:c r="H49" s="58" t="str"/>
      <x:c r="I49" s="58" t="str"/>
      <x:c r="J49" s="58" t="str"/>
      <x:c r="K49" s="58" t="str"/>
      <x:c r="L49" s="58" t="str"/>
      <x:c r="M49" s="58" t="str"/>
      <x:c r="N49" s="58" t="str"/>
      <x:c r="O49" s="58" t="str"/>
      <x:c r="P49" s="58" t="str"/>
      <x:c r="Q49" s="58" t="str"/>
      <x:c r="R49" s="58" t="str"/>
      <x:c r="S49" s="58" t="str"/>
      <x:c r="T49" s="58" t="str"/>
      <x:c r="U49" s="58" t="str"/>
      <x:c r="V49" s="58" t="str"/>
    </x:row>
    <x:row r="50">
      <x:c r="A50" s="58" t="str"/>
      <x:c r="B50" s="58" t="str"/>
      <x:c r="C50" s="58" t="str"/>
      <x:c r="D50" s="58" t="str"/>
      <x:c r="E50" s="58" t="str"/>
      <x:c r="F50" s="58" t="str"/>
      <x:c r="G50" s="58" t="str"/>
      <x:c r="H50" s="58" t="str"/>
      <x:c r="I50" s="58" t="str"/>
      <x:c r="J50" s="58" t="str"/>
      <x:c r="K50" s="58" t="str"/>
      <x:c r="L50" s="58" t="str"/>
      <x:c r="M50" s="58" t="str"/>
      <x:c r="N50" s="58" t="str"/>
      <x:c r="O50" s="58" t="str"/>
      <x:c r="P50" s="58" t="str"/>
      <x:c r="Q50" s="58" t="str"/>
      <x:c r="R50" s="58" t="str"/>
      <x:c r="S50" s="58" t="str"/>
      <x:c r="T50" s="58" t="str"/>
      <x:c r="U50" s="58" t="str"/>
      <x:c r="V50" s="58" t="str"/>
    </x:row>
    <x:row r="51">
      <x:c r="A51" s="58" t="str"/>
      <x:c r="B51" s="58" t="str"/>
      <x:c r="C51" s="58" t="str"/>
      <x:c r="D51" s="58" t="str"/>
      <x:c r="E51" s="58" t="str"/>
      <x:c r="F51" s="58" t="str"/>
      <x:c r="G51" s="58" t="str"/>
      <x:c r="H51" s="58" t="str"/>
      <x:c r="I51" s="58" t="str"/>
      <x:c r="J51" s="58" t="str"/>
      <x:c r="K51" s="58" t="str"/>
      <x:c r="L51" s="58" t="str"/>
      <x:c r="M51" s="58" t="str"/>
      <x:c r="N51" s="58" t="str"/>
      <x:c r="O51" s="58" t="str"/>
      <x:c r="P51" s="58" t="str"/>
      <x:c r="Q51" s="58" t="str"/>
      <x:c r="R51" s="58" t="str"/>
      <x:c r="S51" s="58" t="str"/>
      <x:c r="T51" s="58" t="str"/>
      <x:c r="U51" s="58" t="str"/>
      <x:c r="V51" s="58" t="str"/>
    </x:row>
    <x:row r="52">
      <x:c r="A52" s="58" t="str"/>
      <x:c r="B52" s="58" t="str"/>
      <x:c r="C52" s="58" t="str"/>
      <x:c r="D52" s="58" t="str"/>
      <x:c r="E52" s="58" t="str"/>
      <x:c r="F52" s="58" t="str"/>
      <x:c r="G52" s="58" t="str"/>
      <x:c r="H52" s="58" t="str"/>
      <x:c r="I52" s="58" t="str"/>
      <x:c r="J52" s="58" t="str"/>
      <x:c r="K52" s="58" t="str"/>
      <x:c r="L52" s="58" t="str"/>
      <x:c r="M52" s="58" t="str"/>
      <x:c r="N52" s="58" t="str"/>
      <x:c r="O52" s="58" t="str"/>
      <x:c r="P52" s="58" t="str"/>
      <x:c r="Q52" s="58" t="str"/>
      <x:c r="R52" s="58" t="str"/>
      <x:c r="S52" s="58" t="str"/>
      <x:c r="T52" s="58" t="str"/>
      <x:c r="U52" s="58" t="str"/>
      <x:c r="V52" s="58" t="str"/>
    </x:row>
    <x:row r="53">
      <x:c r="A53" s="58" t="str"/>
      <x:c r="B53" s="58" t="str"/>
      <x:c r="C53" s="58" t="str"/>
      <x:c r="D53" s="58" t="str"/>
      <x:c r="E53" s="58" t="str"/>
      <x:c r="F53" s="58" t="str"/>
      <x:c r="G53" s="58" t="str"/>
      <x:c r="H53" s="58" t="str"/>
      <x:c r="I53" s="58" t="str"/>
      <x:c r="J53" s="58" t="str"/>
      <x:c r="K53" s="58" t="str"/>
      <x:c r="L53" s="58" t="str"/>
      <x:c r="M53" s="58" t="str"/>
      <x:c r="N53" s="58" t="str"/>
      <x:c r="O53" s="58" t="str"/>
      <x:c r="P53" s="58" t="str"/>
      <x:c r="Q53" s="58" t="str"/>
      <x:c r="R53" s="58" t="str"/>
      <x:c r="S53" s="58" t="str"/>
      <x:c r="T53" s="58" t="str"/>
      <x:c r="U53" s="58" t="str"/>
      <x:c r="V53" s="58" t="str"/>
    </x:row>
    <x:row r="54">
      <x:c r="A54" s="58" t="str"/>
      <x:c r="B54" s="58" t="str"/>
      <x:c r="C54" s="58" t="str"/>
      <x:c r="D54" s="58" t="str"/>
      <x:c r="E54" s="58" t="str"/>
      <x:c r="F54" s="58" t="str"/>
      <x:c r="G54" s="58" t="str"/>
      <x:c r="H54" s="58" t="str"/>
      <x:c r="I54" s="58" t="str"/>
      <x:c r="J54" s="58" t="str"/>
      <x:c r="K54" s="58" t="str"/>
      <x:c r="L54" s="58" t="str"/>
      <x:c r="M54" s="58" t="str"/>
      <x:c r="N54" s="58" t="str"/>
      <x:c r="O54" s="58" t="str"/>
      <x:c r="P54" s="58" t="str"/>
      <x:c r="Q54" s="58" t="str"/>
      <x:c r="R54" s="58" t="str"/>
      <x:c r="S54" s="58" t="str"/>
      <x:c r="T54" s="58" t="str"/>
      <x:c r="U54" s="58" t="str"/>
      <x:c r="V54" s="58" t="str"/>
    </x:row>
    <x:row r="55">
      <x:c r="A55" s="58" t="str"/>
      <x:c r="B55" s="58" t="str"/>
      <x:c r="C55" s="58" t="str"/>
      <x:c r="D55" s="58" t="str"/>
      <x:c r="E55" s="58" t="str"/>
      <x:c r="F55" s="58" t="str"/>
      <x:c r="G55" s="58" t="str"/>
      <x:c r="H55" s="58" t="str"/>
      <x:c r="I55" s="58" t="str"/>
      <x:c r="J55" s="58" t="str"/>
      <x:c r="K55" s="58" t="str"/>
      <x:c r="L55" s="58" t="str"/>
      <x:c r="M55" s="58" t="str"/>
      <x:c r="N55" s="58" t="str"/>
      <x:c r="O55" s="58" t="str"/>
      <x:c r="P55" s="58" t="str"/>
      <x:c r="Q55" s="58" t="str"/>
      <x:c r="R55" s="58" t="str"/>
      <x:c r="S55" s="58" t="str"/>
      <x:c r="T55" s="58" t="str"/>
      <x:c r="U55" s="58" t="str"/>
      <x:c r="V55" s="58" t="str"/>
    </x:row>
    <x:row r="56">
      <x:c r="A56" s="58" t="str"/>
      <x:c r="B56" s="58" t="str"/>
      <x:c r="C56" s="58" t="str"/>
      <x:c r="D56" s="58" t="str"/>
      <x:c r="E56" s="58" t="str"/>
      <x:c r="F56" s="58" t="str"/>
      <x:c r="G56" s="58" t="str"/>
      <x:c r="H56" s="58" t="str"/>
      <x:c r="I56" s="58" t="str"/>
      <x:c r="J56" s="58" t="str"/>
      <x:c r="K56" s="58" t="str"/>
      <x:c r="L56" s="58" t="str"/>
      <x:c r="M56" s="58" t="str"/>
      <x:c r="N56" s="58" t="str"/>
      <x:c r="O56" s="58" t="str"/>
      <x:c r="P56" s="58" t="str"/>
      <x:c r="Q56" s="58" t="str"/>
      <x:c r="R56" s="58" t="str"/>
      <x:c r="S56" s="58" t="str"/>
      <x:c r="T56" s="58" t="str"/>
      <x:c r="U56" s="58" t="str"/>
      <x:c r="V56" s="58" t="str"/>
    </x:row>
    <x:row r="57">
      <x:c r="A57" s="58" t="str"/>
      <x:c r="B57" s="58" t="str"/>
      <x:c r="C57" s="58" t="str"/>
      <x:c r="D57" s="58" t="str"/>
      <x:c r="E57" s="58" t="str"/>
      <x:c r="F57" s="58" t="str"/>
      <x:c r="G57" s="58" t="str"/>
      <x:c r="H57" s="58" t="str"/>
      <x:c r="I57" s="58" t="str"/>
      <x:c r="J57" s="58" t="str"/>
      <x:c r="K57" s="58" t="str"/>
      <x:c r="L57" s="58" t="str"/>
      <x:c r="M57" s="58" t="str"/>
      <x:c r="N57" s="58" t="str"/>
      <x:c r="O57" s="58" t="str"/>
      <x:c r="P57" s="58" t="str"/>
      <x:c r="Q57" s="58" t="str"/>
      <x:c r="R57" s="58" t="str"/>
      <x:c r="S57" s="58" t="str"/>
      <x:c r="T57" s="58" t="str"/>
      <x:c r="U57" s="58" t="str"/>
      <x:c r="V57" s="58" t="str"/>
    </x:row>
    <x:row r="58">
      <x:c r="A58" s="58" t="str"/>
      <x:c r="B58" s="58" t="str"/>
      <x:c r="C58" s="58" t="str"/>
      <x:c r="D58" s="58" t="str"/>
      <x:c r="E58" s="58" t="str"/>
      <x:c r="F58" s="58" t="str"/>
      <x:c r="G58" s="58" t="str"/>
      <x:c r="H58" s="58" t="str"/>
      <x:c r="I58" s="58" t="str"/>
      <x:c r="J58" s="58" t="str"/>
      <x:c r="K58" s="58" t="str"/>
      <x:c r="L58" s="58" t="str"/>
      <x:c r="M58" s="58" t="str"/>
      <x:c r="N58" s="58" t="str"/>
      <x:c r="O58" s="58" t="str"/>
      <x:c r="P58" s="58" t="str"/>
      <x:c r="Q58" s="58" t="str"/>
      <x:c r="R58" s="58" t="str"/>
      <x:c r="S58" s="58" t="str"/>
      <x:c r="T58" s="58" t="str"/>
      <x:c r="U58" s="58" t="str"/>
      <x:c r="V58" s="58" t="str"/>
    </x:row>
    <x:row r="59">
      <x:c r="A59" s="58" t="str"/>
      <x:c r="B59" s="58" t="str"/>
      <x:c r="C59" s="58" t="str"/>
      <x:c r="D59" s="58" t="str"/>
      <x:c r="E59" s="58" t="str"/>
      <x:c r="F59" s="58" t="str"/>
      <x:c r="G59" s="58" t="str"/>
      <x:c r="H59" s="58" t="str"/>
      <x:c r="I59" s="58" t="str"/>
      <x:c r="J59" s="58" t="str"/>
      <x:c r="K59" s="58" t="str"/>
      <x:c r="L59" s="58" t="str"/>
      <x:c r="M59" s="58" t="str"/>
      <x:c r="N59" s="58" t="str"/>
      <x:c r="O59" s="58" t="str"/>
      <x:c r="P59" s="58" t="str"/>
      <x:c r="Q59" s="58" t="str"/>
      <x:c r="R59" s="58" t="str"/>
      <x:c r="S59" s="58" t="str"/>
      <x:c r="T59" s="58" t="str"/>
      <x:c r="U59" s="58" t="str"/>
      <x:c r="V59" s="58" t="str"/>
    </x:row>
    <x:row r="60">
      <x:c r="A60" s="58" t="str"/>
      <x:c r="B60" s="58" t="str"/>
      <x:c r="C60" s="58" t="str"/>
      <x:c r="D60" s="58" t="str"/>
      <x:c r="E60" s="58" t="str"/>
      <x:c r="F60" s="58" t="str"/>
      <x:c r="G60" s="58" t="str"/>
      <x:c r="H60" s="58" t="str"/>
      <x:c r="I60" s="58" t="str"/>
      <x:c r="J60" s="58" t="str"/>
      <x:c r="K60" s="58" t="str"/>
      <x:c r="L60" s="58" t="str"/>
      <x:c r="M60" s="58" t="str"/>
      <x:c r="N60" s="58" t="str"/>
      <x:c r="O60" s="58" t="str"/>
      <x:c r="P60" s="58" t="str"/>
      <x:c r="Q60" s="58" t="str"/>
      <x:c r="R60" s="58" t="str"/>
      <x:c r="S60" s="58" t="str"/>
      <x:c r="T60" s="58" t="str"/>
      <x:c r="U60" s="58" t="str"/>
      <x:c r="V60" s="58" t="str"/>
    </x:row>
    <x:row r="61">
      <x:c r="A61" s="58" t="str"/>
      <x:c r="B61" s="58" t="str"/>
      <x:c r="C61" s="58" t="str"/>
      <x:c r="D61" s="58" t="str"/>
      <x:c r="E61" s="58" t="str"/>
      <x:c r="F61" s="58" t="str"/>
      <x:c r="G61" s="58" t="str"/>
      <x:c r="H61" s="58" t="str"/>
      <x:c r="I61" s="58" t="str"/>
      <x:c r="J61" s="58" t="str"/>
      <x:c r="K61" s="58" t="str"/>
      <x:c r="L61" s="58" t="str"/>
      <x:c r="M61" s="58" t="str"/>
      <x:c r="N61" s="58" t="str"/>
      <x:c r="O61" s="58" t="str"/>
      <x:c r="P61" s="58" t="str"/>
      <x:c r="Q61" s="58" t="str"/>
      <x:c r="R61" s="58" t="str"/>
      <x:c r="S61" s="58" t="str"/>
      <x:c r="T61" s="58" t="str"/>
      <x:c r="U61" s="58" t="str"/>
      <x:c r="V61" s="58" t="str"/>
    </x:row>
    <x:row r="62">
      <x:c r="A62" s="58" t="str"/>
      <x:c r="B62" s="58" t="str"/>
      <x:c r="C62" s="58" t="str"/>
      <x:c r="D62" s="58" t="str"/>
      <x:c r="E62" s="58" t="str"/>
      <x:c r="F62" s="58" t="str"/>
      <x:c r="G62" s="58" t="str"/>
      <x:c r="H62" s="58" t="str"/>
      <x:c r="I62" s="58" t="str"/>
      <x:c r="J62" s="58" t="str"/>
      <x:c r="K62" s="58" t="str"/>
      <x:c r="L62" s="58" t="str"/>
      <x:c r="M62" s="58" t="str"/>
      <x:c r="N62" s="58" t="str"/>
      <x:c r="O62" s="58" t="str"/>
      <x:c r="P62" s="58" t="str"/>
      <x:c r="Q62" s="58" t="str"/>
      <x:c r="R62" s="58" t="str"/>
      <x:c r="S62" s="58" t="str"/>
      <x:c r="T62" s="58" t="str"/>
      <x:c r="U62" s="58" t="str"/>
      <x:c r="V62" s="58" t="str"/>
    </x:row>
    <x:row r="63">
      <x:c r="A63" s="58" t="str"/>
      <x:c r="B63" s="58" t="str"/>
      <x:c r="C63" s="58" t="str"/>
      <x:c r="D63" s="58" t="str"/>
      <x:c r="E63" s="58" t="str"/>
      <x:c r="F63" s="58" t="str"/>
      <x:c r="G63" s="58" t="str"/>
      <x:c r="H63" s="58" t="str"/>
      <x:c r="I63" s="58" t="str"/>
      <x:c r="J63" s="58" t="str"/>
      <x:c r="K63" s="58" t="str"/>
      <x:c r="L63" s="58" t="str"/>
      <x:c r="M63" s="58" t="str"/>
      <x:c r="N63" s="58" t="str"/>
      <x:c r="O63" s="58" t="str"/>
      <x:c r="P63" s="58" t="str"/>
      <x:c r="Q63" s="58" t="str"/>
      <x:c r="R63" s="58" t="str"/>
      <x:c r="S63" s="58" t="str"/>
      <x:c r="T63" s="58" t="str"/>
      <x:c r="U63" s="58" t="str"/>
      <x:c r="V63" s="58" t="str"/>
    </x:row>
    <x:row r="64">
      <x:c r="A64" s="58" t="str"/>
      <x:c r="B64" s="58" t="str"/>
      <x:c r="C64" s="58" t="str"/>
      <x:c r="D64" s="58" t="str"/>
      <x:c r="E64" s="58" t="str"/>
      <x:c r="F64" s="58" t="str"/>
      <x:c r="G64" s="58" t="str"/>
      <x:c r="H64" s="58" t="str"/>
      <x:c r="I64" s="58" t="str"/>
      <x:c r="J64" s="58" t="str"/>
      <x:c r="K64" s="58" t="str"/>
      <x:c r="L64" s="58" t="str"/>
      <x:c r="M64" s="58" t="str"/>
      <x:c r="N64" s="58" t="str"/>
      <x:c r="O64" s="58" t="str"/>
      <x:c r="P64" s="58" t="str"/>
      <x:c r="Q64" s="58" t="str"/>
      <x:c r="R64" s="58" t="str"/>
      <x:c r="S64" s="58" t="str"/>
      <x:c r="T64" s="58" t="str"/>
      <x:c r="U64" s="58" t="str"/>
      <x:c r="V64" s="58" t="str"/>
    </x:row>
    <x:row r="65">
      <x:c r="A65" s="58" t="str"/>
      <x:c r="B65" s="58" t="str"/>
      <x:c r="C65" s="58" t="str"/>
      <x:c r="D65" s="58" t="str"/>
      <x:c r="E65" s="58" t="str"/>
      <x:c r="F65" s="58" t="str"/>
      <x:c r="G65" s="58" t="str"/>
      <x:c r="H65" s="58" t="str"/>
      <x:c r="I65" s="58" t="str"/>
      <x:c r="J65" s="58" t="str"/>
      <x:c r="K65" s="58" t="str"/>
      <x:c r="L65" s="58" t="str"/>
      <x:c r="M65" s="58" t="str"/>
      <x:c r="N65" s="58" t="str"/>
      <x:c r="O65" s="58" t="str"/>
      <x:c r="P65" s="58" t="str"/>
      <x:c r="Q65" s="58" t="str"/>
      <x:c r="R65" s="58" t="str"/>
      <x:c r="S65" s="58" t="str"/>
      <x:c r="T65" s="58" t="str"/>
      <x:c r="U65" s="58" t="str"/>
      <x:c r="V65" s="58" t="str"/>
    </x:row>
    <x:row r="66">
      <x:c r="A66" s="58" t="str"/>
      <x:c r="B66" s="58" t="str"/>
      <x:c r="C66" s="58" t="str"/>
      <x:c r="D66" s="58" t="str"/>
      <x:c r="E66" s="58" t="str"/>
      <x:c r="F66" s="58" t="str"/>
      <x:c r="G66" s="58" t="str"/>
      <x:c r="H66" s="58" t="str"/>
      <x:c r="I66" s="58" t="str"/>
      <x:c r="J66" s="58" t="str"/>
      <x:c r="K66" s="58" t="str"/>
      <x:c r="L66" s="58" t="str"/>
      <x:c r="M66" s="58" t="str"/>
      <x:c r="N66" s="58" t="str"/>
      <x:c r="O66" s="58" t="str"/>
      <x:c r="P66" s="58" t="str"/>
      <x:c r="Q66" s="58" t="str"/>
      <x:c r="R66" s="58" t="str"/>
      <x:c r="S66" s="58" t="str"/>
      <x:c r="T66" s="58" t="str"/>
      <x:c r="U66" s="58" t="str"/>
      <x:c r="V66" s="58" t="str"/>
    </x:row>
    <x:row r="67">
      <x:c r="A67" s="58" t="str"/>
      <x:c r="B67" s="58" t="str"/>
      <x:c r="C67" s="58" t="str"/>
      <x:c r="D67" s="58" t="str"/>
      <x:c r="E67" s="58" t="str"/>
      <x:c r="F67" s="58" t="str"/>
      <x:c r="G67" s="58" t="str"/>
      <x:c r="H67" s="58" t="str"/>
      <x:c r="I67" s="58" t="str"/>
      <x:c r="J67" s="58" t="str"/>
      <x:c r="K67" s="58" t="str"/>
      <x:c r="L67" s="58" t="str"/>
      <x:c r="M67" s="58" t="str"/>
      <x:c r="N67" s="58" t="str"/>
      <x:c r="O67" s="58" t="str"/>
      <x:c r="P67" s="58" t="str"/>
      <x:c r="Q67" s="58" t="str"/>
      <x:c r="R67" s="58" t="str"/>
      <x:c r="S67" s="58" t="str"/>
      <x:c r="T67" s="58" t="str"/>
      <x:c r="U67" s="58" t="str"/>
      <x:c r="V67" s="58" t="str"/>
    </x:row>
    <x:row r="68">
      <x:c r="A68" s="58" t="str"/>
      <x:c r="B68" s="58" t="str"/>
      <x:c r="C68" s="58" t="str"/>
      <x:c r="D68" s="58" t="str"/>
      <x:c r="E68" s="58" t="str"/>
      <x:c r="F68" s="58" t="str"/>
      <x:c r="G68" s="58" t="str"/>
      <x:c r="H68" s="58" t="str"/>
      <x:c r="I68" s="58" t="str"/>
      <x:c r="J68" s="58" t="str"/>
      <x:c r="K68" s="58" t="str"/>
      <x:c r="L68" s="58" t="str"/>
      <x:c r="M68" s="58" t="str"/>
      <x:c r="N68" s="58" t="str"/>
      <x:c r="O68" s="58" t="str"/>
      <x:c r="P68" s="58" t="str"/>
      <x:c r="Q68" s="58" t="str"/>
      <x:c r="R68" s="58" t="str"/>
      <x:c r="S68" s="58" t="str"/>
      <x:c r="T68" s="58" t="str"/>
      <x:c r="U68" s="58" t="str"/>
      <x:c r="V68" s="58" t="str"/>
    </x:row>
    <x:row r="69">
      <x:c r="A69" s="58" t="str"/>
      <x:c r="B69" s="58" t="str"/>
      <x:c r="C69" s="58" t="str"/>
      <x:c r="D69" s="58" t="str"/>
      <x:c r="E69" s="58" t="str"/>
      <x:c r="F69" s="58" t="str"/>
      <x:c r="G69" s="58" t="str"/>
      <x:c r="H69" s="58" t="str"/>
      <x:c r="I69" s="58" t="str"/>
      <x:c r="J69" s="58" t="str"/>
      <x:c r="K69" s="58" t="str"/>
      <x:c r="L69" s="58" t="str"/>
      <x:c r="M69" s="58" t="str"/>
      <x:c r="N69" s="58" t="str"/>
      <x:c r="O69" s="58" t="str"/>
      <x:c r="P69" s="58" t="str"/>
      <x:c r="Q69" s="58" t="str"/>
      <x:c r="R69" s="58" t="str"/>
      <x:c r="S69" s="58" t="str"/>
      <x:c r="T69" s="58" t="str"/>
      <x:c r="U69" s="58" t="str"/>
      <x:c r="V69" s="58" t="str"/>
    </x:row>
    <x:row r="70">
      <x:c r="A70" s="58" t="str"/>
      <x:c r="B70" s="58" t="str"/>
      <x:c r="C70" s="58" t="str"/>
      <x:c r="D70" s="58" t="str"/>
      <x:c r="E70" s="58" t="str"/>
      <x:c r="F70" s="58" t="str"/>
      <x:c r="G70" s="58" t="str"/>
      <x:c r="H70" s="58" t="str"/>
      <x:c r="I70" s="58" t="str"/>
      <x:c r="J70" s="58" t="str"/>
      <x:c r="K70" s="58" t="str"/>
      <x:c r="L70" s="58" t="str"/>
      <x:c r="M70" s="58" t="str"/>
      <x:c r="N70" s="58" t="str"/>
      <x:c r="O70" s="58" t="str"/>
      <x:c r="P70" s="58" t="str"/>
      <x:c r="Q70" s="58" t="str"/>
      <x:c r="R70" s="58" t="str"/>
      <x:c r="S70" s="58" t="str"/>
      <x:c r="T70" s="58" t="str"/>
      <x:c r="U70" s="58" t="str"/>
      <x:c r="V70" s="58" t="str"/>
    </x:row>
    <x:row r="71">
      <x:c r="A71" s="58" t="str"/>
      <x:c r="B71" s="58" t="str"/>
      <x:c r="C71" s="58" t="str"/>
      <x:c r="D71" s="58" t="str"/>
      <x:c r="E71" s="58" t="str"/>
      <x:c r="F71" s="58" t="str"/>
      <x:c r="G71" s="58" t="str"/>
      <x:c r="H71" s="58" t="str"/>
      <x:c r="I71" s="58" t="str"/>
      <x:c r="J71" s="58" t="str"/>
      <x:c r="K71" s="58" t="str"/>
      <x:c r="L71" s="58" t="str"/>
      <x:c r="M71" s="58" t="str"/>
      <x:c r="N71" s="58" t="str"/>
      <x:c r="O71" s="58" t="str"/>
      <x:c r="P71" s="58" t="str"/>
      <x:c r="Q71" s="58" t="str"/>
      <x:c r="R71" s="58" t="str"/>
      <x:c r="S71" s="58" t="str"/>
      <x:c r="T71" s="58" t="str"/>
      <x:c r="U71" s="58" t="str"/>
      <x:c r="V71" s="58" t="str"/>
    </x:row>
    <x:row r="72">
      <x:c r="A72" s="58" t="str"/>
      <x:c r="B72" s="58" t="str"/>
      <x:c r="C72" s="58" t="str"/>
      <x:c r="D72" s="58" t="str"/>
      <x:c r="E72" s="58" t="str"/>
      <x:c r="F72" s="58" t="str"/>
      <x:c r="G72" s="58" t="str"/>
      <x:c r="H72" s="58" t="str"/>
      <x:c r="I72" s="58" t="str"/>
      <x:c r="J72" s="58" t="str"/>
      <x:c r="K72" s="58" t="str"/>
      <x:c r="L72" s="58" t="str"/>
      <x:c r="M72" s="58" t="str"/>
      <x:c r="N72" s="58" t="str"/>
      <x:c r="O72" s="58" t="str"/>
      <x:c r="P72" s="58" t="str"/>
      <x:c r="Q72" s="58" t="str"/>
      <x:c r="R72" s="58" t="str"/>
      <x:c r="S72" s="58" t="str"/>
      <x:c r="T72" s="58" t="str"/>
      <x:c r="U72" s="58" t="str"/>
      <x:c r="V72" s="58" t="str"/>
    </x:row>
    <x:row r="73">
      <x:c r="A73" s="58" t="str"/>
      <x:c r="B73" s="58" t="str"/>
      <x:c r="C73" s="58" t="str"/>
      <x:c r="D73" s="58" t="str"/>
      <x:c r="E73" s="58" t="str"/>
      <x:c r="F73" s="58" t="str"/>
      <x:c r="G73" s="58" t="str"/>
      <x:c r="H73" s="58" t="str"/>
      <x:c r="I73" s="58" t="str"/>
      <x:c r="J73" s="58" t="str"/>
      <x:c r="K73" s="58" t="str"/>
      <x:c r="L73" s="58" t="str"/>
      <x:c r="M73" s="58" t="str"/>
      <x:c r="N73" s="58" t="str"/>
      <x:c r="O73" s="58" t="str"/>
      <x:c r="P73" s="58" t="str"/>
      <x:c r="Q73" s="58" t="str"/>
      <x:c r="R73" s="58" t="str"/>
      <x:c r="S73" s="58" t="str"/>
      <x:c r="T73" s="58" t="str"/>
      <x:c r="U73" s="58" t="str"/>
      <x:c r="V73" s="58" t="str"/>
    </x:row>
    <x:row r="74">
      <x:c r="A74" s="58" t="str"/>
      <x:c r="B74" s="58" t="str"/>
      <x:c r="C74" s="58" t="str"/>
      <x:c r="D74" s="58" t="str"/>
      <x:c r="E74" s="58" t="str"/>
      <x:c r="F74" s="58" t="str"/>
      <x:c r="G74" s="58" t="str"/>
      <x:c r="H74" s="58" t="str"/>
      <x:c r="I74" s="58" t="str"/>
      <x:c r="J74" s="58" t="str"/>
      <x:c r="K74" s="58" t="str"/>
      <x:c r="L74" s="58" t="str"/>
      <x:c r="M74" s="58" t="str"/>
      <x:c r="N74" s="58" t="str"/>
      <x:c r="O74" s="58" t="str"/>
      <x:c r="P74" s="58" t="str"/>
      <x:c r="Q74" s="58" t="str"/>
      <x:c r="R74" s="58" t="str"/>
      <x:c r="S74" s="58" t="str"/>
      <x:c r="T74" s="58" t="str"/>
      <x:c r="U74" s="58" t="str"/>
      <x:c r="V74" s="58" t="str"/>
    </x:row>
    <x:row r="75">
      <x:c r="A75" s="58" t="str"/>
      <x:c r="B75" s="58" t="str"/>
      <x:c r="C75" s="58" t="str"/>
      <x:c r="D75" s="58" t="str"/>
      <x:c r="E75" s="58" t="str"/>
      <x:c r="F75" s="58" t="str"/>
      <x:c r="G75" s="58" t="str"/>
      <x:c r="H75" s="58" t="str"/>
      <x:c r="I75" s="58" t="str"/>
      <x:c r="J75" s="58" t="str"/>
      <x:c r="K75" s="58" t="str"/>
      <x:c r="L75" s="58" t="str"/>
      <x:c r="M75" s="58" t="str"/>
      <x:c r="N75" s="58" t="str"/>
      <x:c r="O75" s="58" t="str"/>
      <x:c r="P75" s="58" t="str"/>
      <x:c r="Q75" s="58" t="str"/>
      <x:c r="R75" s="58" t="str"/>
      <x:c r="S75" s="58" t="str"/>
      <x:c r="T75" s="58" t="str"/>
      <x:c r="U75" s="58" t="str"/>
      <x:c r="V75" s="58" t="str"/>
    </x:row>
    <x:row r="76">
      <x:c r="A76" s="58" t="str"/>
      <x:c r="B76" s="58" t="str"/>
      <x:c r="C76" s="58" t="str"/>
      <x:c r="D76" s="58" t="str"/>
      <x:c r="E76" s="58" t="str"/>
      <x:c r="F76" s="58" t="str"/>
      <x:c r="G76" s="58" t="str"/>
      <x:c r="H76" s="58" t="str"/>
      <x:c r="I76" s="58" t="str"/>
      <x:c r="J76" s="58" t="str"/>
      <x:c r="K76" s="58" t="str"/>
      <x:c r="L76" s="58" t="str"/>
      <x:c r="M76" s="58" t="str"/>
      <x:c r="N76" s="58" t="str"/>
      <x:c r="O76" s="58" t="str"/>
      <x:c r="P76" s="58" t="str"/>
      <x:c r="Q76" s="58" t="str"/>
      <x:c r="R76" s="58" t="str"/>
      <x:c r="S76" s="58" t="str"/>
      <x:c r="T76" s="58" t="str"/>
      <x:c r="U76" s="58" t="str"/>
      <x:c r="V76" s="58" t="str"/>
    </x:row>
    <x:row r="77">
      <x:c r="A77" s="58" t="str"/>
      <x:c r="B77" s="58" t="str"/>
      <x:c r="C77" s="58" t="str"/>
      <x:c r="D77" s="58" t="str"/>
      <x:c r="E77" s="58" t="str"/>
      <x:c r="F77" s="58" t="str"/>
      <x:c r="G77" s="58" t="str"/>
      <x:c r="H77" s="58" t="str"/>
      <x:c r="I77" s="58" t="str"/>
      <x:c r="J77" s="58" t="str"/>
      <x:c r="K77" s="58" t="str"/>
      <x:c r="L77" s="58" t="str"/>
      <x:c r="M77" s="58" t="str"/>
      <x:c r="N77" s="58" t="str"/>
      <x:c r="O77" s="58" t="str"/>
      <x:c r="P77" s="58" t="str"/>
      <x:c r="Q77" s="58" t="str"/>
      <x:c r="R77" s="58" t="str"/>
      <x:c r="S77" s="58" t="str"/>
      <x:c r="T77" s="58" t="str"/>
      <x:c r="U77" s="58" t="str"/>
      <x:c r="V77" s="58" t="str"/>
    </x:row>
    <x:row r="78">
      <x:c r="A78" s="58" t="str"/>
      <x:c r="B78" s="58" t="str"/>
      <x:c r="C78" s="58" t="str"/>
      <x:c r="D78" s="58" t="str"/>
      <x:c r="E78" s="58" t="str"/>
      <x:c r="F78" s="58" t="str"/>
      <x:c r="G78" s="58" t="str"/>
      <x:c r="H78" s="58" t="str"/>
      <x:c r="I78" s="58" t="str"/>
      <x:c r="J78" s="58" t="str"/>
      <x:c r="K78" s="58" t="str"/>
      <x:c r="L78" s="58" t="str"/>
      <x:c r="M78" s="58" t="str"/>
      <x:c r="N78" s="58" t="str"/>
      <x:c r="O78" s="58" t="str"/>
      <x:c r="P78" s="58" t="str"/>
      <x:c r="Q78" s="58" t="str"/>
      <x:c r="R78" s="58" t="str"/>
      <x:c r="S78" s="58" t="str"/>
      <x:c r="T78" s="58" t="str"/>
      <x:c r="U78" s="58" t="str"/>
      <x:c r="V78" s="58" t="str"/>
    </x:row>
    <x:row r="79">
      <x:c r="A79" s="58" t="str"/>
      <x:c r="B79" s="58" t="str"/>
      <x:c r="C79" s="58" t="str"/>
      <x:c r="D79" s="58" t="str"/>
      <x:c r="E79" s="58" t="str"/>
      <x:c r="F79" s="58" t="str"/>
      <x:c r="G79" s="58" t="str"/>
      <x:c r="H79" s="58" t="str"/>
      <x:c r="I79" s="58" t="str"/>
      <x:c r="J79" s="58" t="str"/>
      <x:c r="K79" s="58" t="str"/>
      <x:c r="L79" s="58" t="str"/>
      <x:c r="M79" s="58" t="str"/>
      <x:c r="N79" s="58" t="str"/>
      <x:c r="O79" s="58" t="str"/>
      <x:c r="P79" s="58" t="str"/>
      <x:c r="Q79" s="58" t="str"/>
      <x:c r="R79" s="58" t="str"/>
      <x:c r="S79" s="58" t="str"/>
      <x:c r="T79" s="58" t="str"/>
      <x:c r="U79" s="58" t="str"/>
      <x:c r="V79" s="58" t="str"/>
    </x:row>
    <x:row r="80">
      <x:c r="A80" s="58" t="str"/>
      <x:c r="B80" s="58" t="str"/>
      <x:c r="C80" s="58" t="str"/>
      <x:c r="D80" s="58" t="str"/>
      <x:c r="E80" s="58" t="str"/>
      <x:c r="F80" s="58" t="str"/>
      <x:c r="G80" s="58" t="str"/>
      <x:c r="H80" s="58" t="str"/>
      <x:c r="I80" s="58" t="str"/>
      <x:c r="J80" s="58" t="str"/>
      <x:c r="K80" s="58" t="str"/>
      <x:c r="L80" s="58" t="str"/>
      <x:c r="M80" s="58" t="str"/>
      <x:c r="N80" s="58" t="str"/>
      <x:c r="O80" s="58" t="str"/>
      <x:c r="P80" s="58" t="str"/>
      <x:c r="Q80" s="58" t="str"/>
      <x:c r="R80" s="58" t="str"/>
      <x:c r="S80" s="58" t="str"/>
      <x:c r="T80" s="58" t="str"/>
      <x:c r="U80" s="58" t="str"/>
      <x:c r="V80" s="58" t="str"/>
    </x:row>
    <x:row r="81">
      <x:c r="A81" s="58" t="str"/>
      <x:c r="B81" s="58" t="str"/>
      <x:c r="C81" s="58" t="str"/>
      <x:c r="D81" s="58" t="str"/>
      <x:c r="E81" s="58" t="str"/>
      <x:c r="F81" s="58" t="str"/>
      <x:c r="G81" s="58" t="str"/>
      <x:c r="H81" s="58" t="str"/>
      <x:c r="I81" s="58" t="str"/>
      <x:c r="J81" s="58" t="str"/>
      <x:c r="K81" s="58" t="str"/>
      <x:c r="L81" s="58" t="str"/>
      <x:c r="M81" s="58" t="str"/>
      <x:c r="N81" s="58" t="str"/>
      <x:c r="O81" s="58" t="str"/>
      <x:c r="P81" s="58" t="str"/>
      <x:c r="Q81" s="58" t="str"/>
      <x:c r="R81" s="58" t="str"/>
      <x:c r="S81" s="58" t="str"/>
      <x:c r="T81" s="58" t="str"/>
      <x:c r="U81" s="58" t="str"/>
      <x:c r="V81" s="58" t="str"/>
    </x:row>
    <x:row r="82">
      <x:c r="A82" s="58" t="str"/>
      <x:c r="B82" s="58" t="str"/>
      <x:c r="C82" s="58" t="str"/>
      <x:c r="D82" s="58" t="str"/>
      <x:c r="E82" s="58" t="str"/>
      <x:c r="F82" s="58" t="str"/>
      <x:c r="G82" s="58" t="str"/>
      <x:c r="H82" s="58" t="str"/>
      <x:c r="I82" s="58" t="str"/>
      <x:c r="J82" s="58" t="str"/>
      <x:c r="K82" s="58" t="str"/>
      <x:c r="L82" s="58" t="str"/>
      <x:c r="M82" s="58" t="str"/>
      <x:c r="N82" s="58" t="str"/>
      <x:c r="O82" s="58" t="str"/>
      <x:c r="P82" s="58" t="str"/>
      <x:c r="Q82" s="58" t="str"/>
      <x:c r="R82" s="58" t="str"/>
      <x:c r="S82" s="58" t="str"/>
      <x:c r="T82" s="58" t="str"/>
      <x:c r="U82" s="58" t="str"/>
      <x:c r="V82" s="58" t="str"/>
    </x:row>
    <x:row r="83">
      <x:c r="A83" s="58" t="str"/>
      <x:c r="B83" s="58" t="str"/>
      <x:c r="C83" s="58" t="str"/>
      <x:c r="D83" s="58" t="str"/>
      <x:c r="E83" s="58" t="str"/>
      <x:c r="F83" s="58" t="str"/>
      <x:c r="G83" s="58" t="str"/>
      <x:c r="H83" s="58" t="str"/>
      <x:c r="I83" s="58" t="str"/>
      <x:c r="J83" s="58" t="str"/>
      <x:c r="K83" s="58" t="str"/>
      <x:c r="L83" s="58" t="str"/>
      <x:c r="M83" s="58" t="str"/>
      <x:c r="N83" s="58" t="str"/>
      <x:c r="O83" s="58" t="str"/>
      <x:c r="P83" s="58" t="str"/>
      <x:c r="Q83" s="58" t="str"/>
      <x:c r="R83" s="58" t="str"/>
      <x:c r="S83" s="58" t="str"/>
      <x:c r="T83" s="58" t="str"/>
      <x:c r="U83" s="58" t="str"/>
      <x:c r="V83" s="58" t="str"/>
    </x:row>
    <x:row r="84">
      <x:c r="A84" s="58" t="str"/>
      <x:c r="B84" s="58" t="str"/>
      <x:c r="C84" s="58" t="str"/>
      <x:c r="D84" s="58" t="str"/>
      <x:c r="E84" s="58" t="str"/>
      <x:c r="F84" s="58" t="str"/>
      <x:c r="G84" s="58" t="str"/>
      <x:c r="H84" s="58" t="str"/>
      <x:c r="I84" s="58" t="str"/>
      <x:c r="J84" s="58" t="str"/>
      <x:c r="K84" s="58" t="str"/>
      <x:c r="L84" s="58" t="str"/>
      <x:c r="M84" s="58" t="str"/>
      <x:c r="N84" s="58" t="str"/>
      <x:c r="O84" s="58" t="str"/>
      <x:c r="P84" s="58" t="str"/>
      <x:c r="Q84" s="58" t="str"/>
      <x:c r="R84" s="58" t="str"/>
      <x:c r="S84" s="58" t="str"/>
      <x:c r="T84" s="58" t="str"/>
      <x:c r="U84" s="58" t="str"/>
      <x:c r="V84" s="58" t="str"/>
    </x:row>
    <x:row r="85">
      <x:c r="A85" s="58" t="str"/>
      <x:c r="B85" s="58" t="str"/>
      <x:c r="C85" s="58" t="str"/>
      <x:c r="D85" s="58" t="str"/>
      <x:c r="E85" s="58" t="str"/>
      <x:c r="F85" s="58" t="str"/>
      <x:c r="G85" s="58" t="str"/>
      <x:c r="H85" s="58" t="str"/>
      <x:c r="I85" s="58" t="str"/>
      <x:c r="J85" s="58" t="str"/>
      <x:c r="K85" s="58" t="str"/>
      <x:c r="L85" s="58" t="str"/>
      <x:c r="M85" s="58" t="str"/>
      <x:c r="N85" s="58" t="str"/>
      <x:c r="O85" s="58" t="str"/>
      <x:c r="P85" s="58" t="str"/>
      <x:c r="Q85" s="58" t="str"/>
      <x:c r="R85" s="58" t="str"/>
      <x:c r="S85" s="58" t="str"/>
      <x:c r="T85" s="58" t="str"/>
      <x:c r="U85" s="58" t="str"/>
      <x:c r="V85" s="58" t="str"/>
    </x:row>
    <x:row r="86">
      <x:c r="A86" s="58" t="str"/>
      <x:c r="B86" s="58" t="str"/>
      <x:c r="C86" s="58" t="str"/>
      <x:c r="D86" s="58" t="str"/>
      <x:c r="E86" s="58" t="str"/>
      <x:c r="F86" s="58" t="str"/>
      <x:c r="G86" s="58" t="str"/>
      <x:c r="H86" s="58" t="str"/>
      <x:c r="I86" s="58" t="str"/>
      <x:c r="J86" s="58" t="str"/>
      <x:c r="K86" s="58" t="str"/>
      <x:c r="L86" s="58" t="str"/>
      <x:c r="M86" s="58" t="str"/>
      <x:c r="N86" s="58" t="str"/>
      <x:c r="O86" s="58" t="str"/>
      <x:c r="P86" s="58" t="str"/>
      <x:c r="Q86" s="58" t="str"/>
      <x:c r="R86" s="58" t="str"/>
      <x:c r="S86" s="58" t="str"/>
      <x:c r="T86" s="58" t="str"/>
      <x:c r="U86" s="58" t="str"/>
      <x:c r="V86" s="58" t="str"/>
    </x:row>
    <x:row r="87">
      <x:c r="A87" s="58" t="str"/>
      <x:c r="B87" s="58" t="str"/>
      <x:c r="C87" s="58" t="str"/>
      <x:c r="D87" s="58" t="str"/>
      <x:c r="E87" s="58" t="str"/>
      <x:c r="F87" s="58" t="str"/>
      <x:c r="G87" s="58" t="str"/>
      <x:c r="H87" s="58" t="str"/>
      <x:c r="I87" s="58" t="str"/>
      <x:c r="J87" s="58" t="str"/>
      <x:c r="K87" s="58" t="str"/>
      <x:c r="L87" s="58" t="str"/>
      <x:c r="M87" s="58" t="str"/>
      <x:c r="N87" s="58" t="str"/>
      <x:c r="O87" s="58" t="str"/>
      <x:c r="P87" s="58" t="str"/>
      <x:c r="Q87" s="58" t="str"/>
      <x:c r="R87" s="58" t="str"/>
      <x:c r="S87" s="58" t="str"/>
      <x:c r="T87" s="58" t="str"/>
      <x:c r="U87" s="58" t="str"/>
      <x:c r="V87" s="58" t="str"/>
    </x:row>
  </x:sheetData>
  <x:mergeCells>
    <x:mergeCell ref="A1:L1"/>
    <x:mergeCell ref="A2:L2"/>
  </x:mergeCells>
  <x:dataValidations count="5">
    <x:dataValidation type="list" sqref="E5:E87">
      <x:formula1>Lists!$A$5:$A$7</x:formula1>
    </x:dataValidation>
    <x:dataValidation type="list" sqref="N5:N87">
      <x:formula1>Lists!$C$5:$C$6</x:formula1>
    </x:dataValidation>
    <x:dataValidation type="list" sqref="T5:T87">
      <x:formula1>Lists!$D$5:$D$8</x:formula1>
    </x:dataValidation>
    <x:dataValidation type="list" sqref="U5:U87">
      <x:formula1>Lists!$B$5:$B$7</x:formula1>
    </x:dataValidation>
    <x:dataValidation type="list" sqref="K5:K87">
      <x:formula1>"A,B,C,D,Text answer,Code/manual"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3366b084b5438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40" hidden="0" customWidth="1"/>
    <x:col min="4" max="4" width="26" hidden="0" customWidth="1"/>
    <x:col min="5" max="5" width="32" hidden="0" customWidth="1"/>
    <x:col min="6" max="6" width="26" hidden="0" customWidth="1"/>
    <x:col min="7" max="7" width="42" hidden="0" customWidth="1"/>
  </x:cols>
  <x:sheetData>
    <x:row r="1" ht="32" customHeight="1">
      <x:c r="A1" s="5" t="str">
        <x:v>Evaluation Rubric</x:v>
      </x:c>
    </x:row>
    <x:row r="2" ht="26" customHeight="1">
      <x:c r="A2" s="12" t="str">
        <x:v>Use this to keep evaluation consistent across MCQ, fill-up, and coding questions.</x:v>
      </x:c>
    </x:row>
    <x:row r="4">
      <x:c r="A4" s="60" t="str">
        <x:v>QuestionType</x:v>
      </x:c>
      <x:c r="B4" s="61" t="str">
        <x:v>EvaluationMode</x:v>
      </x:c>
      <x:c r="C4" s="61" t="str">
        <x:v>Rule</x:v>
      </x:c>
      <x:c r="D4" s="61" t="str">
        <x:v>Full Marks</x:v>
      </x:c>
      <x:c r="E4" s="61" t="str">
        <x:v>Partial Marks</x:v>
      </x:c>
      <x:c r="F4" s="61" t="str">
        <x:v>Zero Marks</x:v>
      </x:c>
      <x:c r="G4" s="62" t="str">
        <x:v>Teacher Notes</x:v>
      </x:c>
    </x:row>
    <x:row r="5">
      <x:c r="A5" s="63" t="str">
        <x:v>MCQ</x:v>
      </x:c>
      <x:c r="B5" s="64" t="str">
        <x:v>AUTO</x:v>
      </x:c>
      <x:c r="C5" s="64" t="str">
        <x:v>Award full marks only when selected option matches CorrectAnswer.</x:v>
      </x:c>
      <x:c r="D5" s="64" t="str">
        <x:v>Exact option match</x:v>
      </x:c>
      <x:c r="E5" s="64" t="str">
        <x:v>Not recommended</x:v>
      </x:c>
      <x:c r="F5" s="64" t="str">
        <x:v>Wrong or blank</x:v>
      </x:c>
      <x:c r="G5" s="65" t="str">
        <x:v>Do not manually change unless answer key had an error.</x:v>
      </x:c>
    </x:row>
    <x:row r="6">
      <x:c r="A6" s="63" t="str">
        <x:v>FILLUP</x:v>
      </x:c>
      <x:c r="B6" s="64" t="str">
        <x:v>AUTO/HYBRID</x:v>
      </x:c>
      <x:c r="C6" s="64" t="str">
        <x:v>Award full marks when answer matches CorrectAnswer or AcceptedAnswers.</x:v>
      </x:c>
      <x:c r="D6" s="64" t="str">
        <x:v>Exact/accepted answer</x:v>
      </x:c>
      <x:c r="E6" s="64" t="str">
        <x:v>Spelling/format acceptable if teacher approves</x:v>
      </x:c>
      <x:c r="F6" s="64" t="str">
        <x:v>Wrong or blank</x:v>
      </x:c>
      <x:c r="G6" s="65" t="str">
        <x:v>Use CaseSensitive column when needed.</x:v>
      </x:c>
    </x:row>
    <x:row r="7">
      <x:c r="A7" s="66" t="str">
        <x:v>CODING</x:v>
      </x:c>
      <x:c r="B7" s="67" t="str">
        <x:v>MANUAL/HYBRID</x:v>
      </x:c>
      <x:c r="C7" s="67" t="str">
        <x:v>Check logic, syntax, visible tests, hidden tests, and edge cases.</x:v>
      </x:c>
      <x:c r="D7" s="67" t="str">
        <x:v>All tests pass and logic is correct</x:v>
      </x:c>
      <x:c r="E7" s="67" t="str">
        <x:v>Minor syntax/edge-case errors</x:v>
      </x:c>
      <x:c r="F7" s="67" t="str">
        <x:v>No working attempt or unrelated code</x:v>
      </x:c>
      <x:c r="G7" s="68" t="str">
        <x:v>Do not run unsafe code without sandboxing.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4" hidden="0" customWidth="1"/>
    <x:col min="5" max="5" width="26" hidden="0" customWidth="1"/>
    <x:col min="6" max="6" width="30" hidden="0" customWidth="1"/>
    <x:col min="7" max="7" width="12" hidden="0" customWidth="1"/>
    <x:col min="8" max="8" width="14" hidden="0" customWidth="1"/>
    <x:col min="9" max="9" width="26" hidden="0" customWidth="1"/>
    <x:col min="10" max="10" width="48" hidden="0" customWidth="1"/>
    <x:col min="11" max="11" width="20" hidden="0" customWidth="1"/>
  </x:cols>
  <x:sheetData>
    <x:row r="1" ht="32" customHeight="1">
      <x:c r="A1" s="5" t="str">
        <x:v>Student Responses Export</x:v>
      </x:c>
    </x:row>
    <x:row r="2" ht="26" customHeight="1">
      <x:c r="A2" s="12" t="str">
        <x:v>Paste ClassNest exported attempt responses here. Keep one row per student per question.</x:v>
      </x:c>
    </x:row>
    <x:row r="4">
      <x:c r="A4" s="50" t="str">
        <x:v>AttemptID</x:v>
      </x:c>
      <x:c r="B4" s="50" t="str">
        <x:v>StudentID</x:v>
      </x:c>
      <x:c r="C4" s="50" t="str">
        <x:v>StudentName</x:v>
      </x:c>
      <x:c r="D4" s="50" t="str">
        <x:v>RollNo</x:v>
      </x:c>
      <x:c r="E4" s="50" t="str">
        <x:v>Email</x:v>
      </x:c>
      <x:c r="F4" s="50" t="str">
        <x:v>AssessmentTitle</x:v>
      </x:c>
      <x:c r="G4" s="50" t="str">
        <x:v>QuestionID</x:v>
      </x:c>
      <x:c r="H4" s="50" t="str">
        <x:v>QuestionType</x:v>
      </x:c>
      <x:c r="I4" s="50" t="str">
        <x:v>StudentAnswer</x:v>
      </x:c>
      <x:c r="J4" s="50" t="str">
        <x:v>CodeAnswer</x:v>
      </x:c>
      <x:c r="K4" s="50" t="str">
        <x:v>SubmittedAt</x:v>
      </x:c>
    </x:row>
    <x:row r="5">
      <x:c r="A5" s="56" t="str">
        <x:v>A001</x:v>
      </x:c>
      <x:c r="B5" s="56" t="str">
        <x:v>S001</x:v>
      </x:c>
      <x:c r="C5" s="56" t="str">
        <x:v>Arun K</x:v>
      </x:c>
      <x:c r="D5" s="56" t="str">
        <x:v>2411001</x:v>
      </x:c>
      <x:c r="E5" s="56" t="str">
        <x:v>arun@example.com</x:v>
      </x:c>
      <x:c r="F5" s="56" t="str">
        <x:v>Unit 1 - Functions Assessment</x:v>
      </x:c>
      <x:c r="G5" s="56" t="str">
        <x:v>Q001</x:v>
      </x:c>
      <x:c r="H5" s="56" t="str">
        <x:v>MCQ</x:v>
      </x:c>
      <x:c r="I5" s="56" t="str">
        <x:v>A</x:v>
      </x:c>
      <x:c r="J5" s="56" t="str"/>
      <x:c r="K5" s="78" t="n">
        <x:v>46194.4375</x:v>
      </x:c>
    </x:row>
    <x:row r="6">
      <x:c r="A6" s="56" t="str">
        <x:v>A001</x:v>
      </x:c>
      <x:c r="B6" s="56" t="str">
        <x:v>S001</x:v>
      </x:c>
      <x:c r="C6" s="56" t="str">
        <x:v>Arun K</x:v>
      </x:c>
      <x:c r="D6" s="56" t="str">
        <x:v>2411001</x:v>
      </x:c>
      <x:c r="E6" s="56" t="str">
        <x:v>arun@example.com</x:v>
      </x:c>
      <x:c r="F6" s="56" t="str">
        <x:v>Unit 1 - Functions Assessment</x:v>
      </x:c>
      <x:c r="G6" s="56" t="str">
        <x:v>Q011</x:v>
      </x:c>
      <x:c r="H6" s="56" t="str">
        <x:v>FILLUP</x:v>
      </x:c>
      <x:c r="I6" s="56" t="str">
        <x:v>recursive</x:v>
      </x:c>
      <x:c r="J6" s="56" t="str"/>
      <x:c r="K6" s="78" t="n">
        <x:v>46194.4375</x:v>
      </x:c>
    </x:row>
    <x:row r="7">
      <x:c r="A7" s="56" t="str">
        <x:v>A001</x:v>
      </x:c>
      <x:c r="B7" s="56" t="str">
        <x:v>S001</x:v>
      </x:c>
      <x:c r="C7" s="56" t="str">
        <x:v>Arun K</x:v>
      </x:c>
      <x:c r="D7" s="56" t="str">
        <x:v>2411001</x:v>
      </x:c>
      <x:c r="E7" s="56" t="str">
        <x:v>arun@example.com</x:v>
      </x:c>
      <x:c r="F7" s="56" t="str">
        <x:v>Unit 1 - Functions Assessment</x:v>
      </x:c>
      <x:c r="G7" s="56" t="str">
        <x:v>Q019</x:v>
      </x:c>
      <x:c r="H7" s="56" t="str">
        <x:v>CODING</x:v>
      </x:c>
      <x:c r="I7" s="56" t="str"/>
      <x:c r="J7" s="56" t="str">
        <x:v>def square(x):
    return x*x</x:v>
      </x:c>
      <x:c r="K7" s="78" t="n">
        <x:v>46194.4375</x:v>
      </x:c>
    </x:row>
    <x:row r="8">
      <x:c r="A8" s="56" t="str"/>
      <x:c r="B8" s="56" t="str"/>
      <x:c r="C8" s="56" t="str"/>
      <x:c r="D8" s="56" t="str"/>
      <x:c r="E8" s="56" t="str"/>
      <x:c r="F8" s="56" t="str"/>
      <x:c r="G8" s="56" t="str"/>
      <x:c r="H8" s="56" t="str"/>
      <x:c r="I8" s="56" t="str"/>
      <x:c r="J8" s="56" t="str"/>
      <x:c r="K8" s="78" t="str"/>
    </x:row>
    <x:row r="9">
      <x:c r="A9" s="56" t="str"/>
      <x:c r="B9" s="56" t="str"/>
      <x:c r="C9" s="56" t="str"/>
      <x:c r="D9" s="56" t="str"/>
      <x:c r="E9" s="56" t="str"/>
      <x:c r="F9" s="56" t="str"/>
      <x:c r="G9" s="56" t="str"/>
      <x:c r="H9" s="56" t="str"/>
      <x:c r="I9" s="56" t="str"/>
      <x:c r="J9" s="56" t="str"/>
      <x:c r="K9" s="78" t="str"/>
    </x:row>
    <x:row r="10">
      <x:c r="A10" s="56" t="str"/>
      <x:c r="B10" s="56" t="str"/>
      <x:c r="C10" s="56" t="str"/>
      <x:c r="D10" s="56" t="str"/>
      <x:c r="E10" s="56" t="str"/>
      <x:c r="F10" s="56" t="str"/>
      <x:c r="G10" s="56" t="str"/>
      <x:c r="H10" s="56" t="str"/>
      <x:c r="I10" s="56" t="str"/>
      <x:c r="J10" s="56" t="str"/>
      <x:c r="K10" s="78" t="str"/>
    </x:row>
    <x:row r="11">
      <x:c r="A11" s="56" t="str"/>
      <x:c r="B11" s="56" t="str"/>
      <x:c r="C11" s="56" t="str"/>
      <x:c r="D11" s="56" t="str"/>
      <x:c r="E11" s="56" t="str"/>
      <x:c r="F11" s="56" t="str"/>
      <x:c r="G11" s="56" t="str"/>
      <x:c r="H11" s="56" t="str"/>
      <x:c r="I11" s="56" t="str"/>
      <x:c r="J11" s="56" t="str"/>
      <x:c r="K11" s="78" t="str"/>
    </x:row>
    <x:row r="12">
      <x:c r="A12" s="56" t="str"/>
      <x:c r="B12" s="56" t="str"/>
      <x:c r="C12" s="56" t="str"/>
      <x:c r="D12" s="56" t="str"/>
      <x:c r="E12" s="56" t="str"/>
      <x:c r="F12" s="56" t="str"/>
      <x:c r="G12" s="56" t="str"/>
      <x:c r="H12" s="56" t="str"/>
      <x:c r="I12" s="56" t="str"/>
      <x:c r="J12" s="56" t="str"/>
      <x:c r="K12" s="78" t="str"/>
    </x:row>
    <x:row r="13">
      <x:c r="A13" s="56" t="str"/>
      <x:c r="B13" s="56" t="str"/>
      <x:c r="C13" s="56" t="str"/>
      <x:c r="D13" s="56" t="str"/>
      <x:c r="E13" s="56" t="str"/>
      <x:c r="F13" s="56" t="str"/>
      <x:c r="G13" s="56" t="str"/>
      <x:c r="H13" s="56" t="str"/>
      <x:c r="I13" s="56" t="str"/>
      <x:c r="J13" s="56" t="str"/>
      <x:c r="K13" s="78" t="str"/>
    </x:row>
    <x:row r="14">
      <x:c r="A14" s="56" t="str"/>
      <x:c r="B14" s="56" t="str"/>
      <x:c r="C14" s="56" t="str"/>
      <x:c r="D14" s="56" t="str"/>
      <x:c r="E14" s="56" t="str"/>
      <x:c r="F14" s="56" t="str"/>
      <x:c r="G14" s="56" t="str"/>
      <x:c r="H14" s="56" t="str"/>
      <x:c r="I14" s="56" t="str"/>
      <x:c r="J14" s="56" t="str"/>
      <x:c r="K14" s="78" t="str"/>
    </x:row>
    <x:row r="15">
      <x:c r="A15" s="56" t="str"/>
      <x:c r="B15" s="56" t="str"/>
      <x:c r="C15" s="56" t="str"/>
      <x:c r="D15" s="56" t="str"/>
      <x:c r="E15" s="56" t="str"/>
      <x:c r="F15" s="56" t="str"/>
      <x:c r="G15" s="56" t="str"/>
      <x:c r="H15" s="56" t="str"/>
      <x:c r="I15" s="56" t="str"/>
      <x:c r="J15" s="56" t="str"/>
      <x:c r="K15" s="78" t="str"/>
    </x:row>
    <x:row r="16">
      <x:c r="A16" s="56" t="str"/>
      <x:c r="B16" s="56" t="str"/>
      <x:c r="C16" s="56" t="str"/>
      <x:c r="D16" s="56" t="str"/>
      <x:c r="E16" s="56" t="str"/>
      <x:c r="F16" s="56" t="str"/>
      <x:c r="G16" s="56" t="str"/>
      <x:c r="H16" s="56" t="str"/>
      <x:c r="I16" s="56" t="str"/>
      <x:c r="J16" s="56" t="str"/>
      <x:c r="K16" s="78" t="str"/>
    </x:row>
    <x:row r="17">
      <x:c r="A17" s="56" t="str"/>
      <x:c r="B17" s="56" t="str"/>
      <x:c r="C17" s="56" t="str"/>
      <x:c r="D17" s="56" t="str"/>
      <x:c r="E17" s="56" t="str"/>
      <x:c r="F17" s="56" t="str"/>
      <x:c r="G17" s="56" t="str"/>
      <x:c r="H17" s="56" t="str"/>
      <x:c r="I17" s="56" t="str"/>
      <x:c r="J17" s="56" t="str"/>
      <x:c r="K17" s="78" t="str"/>
    </x:row>
    <x:row r="18">
      <x:c r="A18" s="56" t="str"/>
      <x:c r="B18" s="56" t="str"/>
      <x:c r="C18" s="56" t="str"/>
      <x:c r="D18" s="56" t="str"/>
      <x:c r="E18" s="56" t="str"/>
      <x:c r="F18" s="56" t="str"/>
      <x:c r="G18" s="56" t="str"/>
      <x:c r="H18" s="56" t="str"/>
      <x:c r="I18" s="56" t="str"/>
      <x:c r="J18" s="56" t="str"/>
      <x:c r="K18" s="78" t="str"/>
    </x:row>
    <x:row r="19">
      <x:c r="A19" s="56" t="str"/>
      <x:c r="B19" s="56" t="str"/>
      <x:c r="C19" s="56" t="str"/>
      <x:c r="D19" s="56" t="str"/>
      <x:c r="E19" s="56" t="str"/>
      <x:c r="F19" s="56" t="str"/>
      <x:c r="G19" s="56" t="str"/>
      <x:c r="H19" s="56" t="str"/>
      <x:c r="I19" s="56" t="str"/>
      <x:c r="J19" s="56" t="str"/>
      <x:c r="K19" s="78" t="str"/>
    </x:row>
    <x:row r="20">
      <x:c r="A20" s="56" t="str"/>
      <x:c r="B20" s="56" t="str"/>
      <x:c r="C20" s="56" t="str"/>
      <x:c r="D20" s="56" t="str"/>
      <x:c r="E20" s="56" t="str"/>
      <x:c r="F20" s="56" t="str"/>
      <x:c r="G20" s="56" t="str"/>
      <x:c r="H20" s="56" t="str"/>
      <x:c r="I20" s="56" t="str"/>
      <x:c r="J20" s="56" t="str"/>
      <x:c r="K20" s="78" t="str"/>
    </x:row>
    <x:row r="21">
      <x:c r="A21" s="56" t="str"/>
      <x:c r="B21" s="56" t="str"/>
      <x:c r="C21" s="56" t="str"/>
      <x:c r="D21" s="56" t="str"/>
      <x:c r="E21" s="56" t="str"/>
      <x:c r="F21" s="56" t="str"/>
      <x:c r="G21" s="56" t="str"/>
      <x:c r="H21" s="56" t="str"/>
      <x:c r="I21" s="56" t="str"/>
      <x:c r="J21" s="56" t="str"/>
      <x:c r="K21" s="78" t="str"/>
    </x:row>
    <x:row r="22">
      <x:c r="A22" s="56" t="str"/>
      <x:c r="B22" s="56" t="str"/>
      <x:c r="C22" s="56" t="str"/>
      <x:c r="D22" s="56" t="str"/>
      <x:c r="E22" s="56" t="str"/>
      <x:c r="F22" s="56" t="str"/>
      <x:c r="G22" s="56" t="str"/>
      <x:c r="H22" s="56" t="str"/>
      <x:c r="I22" s="56" t="str"/>
      <x:c r="J22" s="56" t="str"/>
      <x:c r="K22" s="78" t="str"/>
    </x:row>
    <x:row r="23">
      <x:c r="A23" s="56" t="str"/>
      <x:c r="B23" s="56" t="str"/>
      <x:c r="C23" s="56" t="str"/>
      <x:c r="D23" s="56" t="str"/>
      <x:c r="E23" s="56" t="str"/>
      <x:c r="F23" s="56" t="str"/>
      <x:c r="G23" s="56" t="str"/>
      <x:c r="H23" s="56" t="str"/>
      <x:c r="I23" s="56" t="str"/>
      <x:c r="J23" s="56" t="str"/>
      <x:c r="K23" s="78" t="str"/>
    </x:row>
    <x:row r="24">
      <x:c r="A24" s="56" t="str"/>
      <x:c r="B24" s="56" t="str"/>
      <x:c r="C24" s="56" t="str"/>
      <x:c r="D24" s="56" t="str"/>
      <x:c r="E24" s="56" t="str"/>
      <x:c r="F24" s="56" t="str"/>
      <x:c r="G24" s="56" t="str"/>
      <x:c r="H24" s="56" t="str"/>
      <x:c r="I24" s="56" t="str"/>
      <x:c r="J24" s="56" t="str"/>
      <x:c r="K24" s="78" t="str"/>
    </x:row>
    <x:row r="25">
      <x:c r="A25" s="56" t="str"/>
      <x:c r="B25" s="56" t="str"/>
      <x:c r="C25" s="56" t="str"/>
      <x:c r="D25" s="56" t="str"/>
      <x:c r="E25" s="56" t="str"/>
      <x:c r="F25" s="56" t="str"/>
      <x:c r="G25" s="56" t="str"/>
      <x:c r="H25" s="56" t="str"/>
      <x:c r="I25" s="56" t="str"/>
      <x:c r="J25" s="56" t="str"/>
      <x:c r="K25" s="78" t="str"/>
    </x:row>
    <x:row r="26">
      <x:c r="A26" s="56" t="str"/>
      <x:c r="B26" s="56" t="str"/>
      <x:c r="C26" s="56" t="str"/>
      <x:c r="D26" s="56" t="str"/>
      <x:c r="E26" s="56" t="str"/>
      <x:c r="F26" s="56" t="str"/>
      <x:c r="G26" s="56" t="str"/>
      <x:c r="H26" s="56" t="str"/>
      <x:c r="I26" s="56" t="str"/>
      <x:c r="J26" s="56" t="str"/>
      <x:c r="K26" s="78" t="str"/>
    </x:row>
    <x:row r="27">
      <x:c r="A27" s="56" t="str"/>
      <x:c r="B27" s="56" t="str"/>
      <x:c r="C27" s="56" t="str"/>
      <x:c r="D27" s="56" t="str"/>
      <x:c r="E27" s="56" t="str"/>
      <x:c r="F27" s="56" t="str"/>
      <x:c r="G27" s="56" t="str"/>
      <x:c r="H27" s="56" t="str"/>
      <x:c r="I27" s="56" t="str"/>
      <x:c r="J27" s="56" t="str"/>
      <x:c r="K27" s="78" t="str"/>
    </x:row>
    <x:row r="28">
      <x:c r="A28" s="56" t="str"/>
      <x:c r="B28" s="56" t="str"/>
      <x:c r="C28" s="56" t="str"/>
      <x:c r="D28" s="56" t="str"/>
      <x:c r="E28" s="56" t="str"/>
      <x:c r="F28" s="56" t="str"/>
      <x:c r="G28" s="56" t="str"/>
      <x:c r="H28" s="56" t="str"/>
      <x:c r="I28" s="56" t="str"/>
      <x:c r="J28" s="56" t="str"/>
      <x:c r="K28" s="78" t="str"/>
    </x:row>
    <x:row r="29">
      <x:c r="A29" s="56" t="str"/>
      <x:c r="B29" s="56" t="str"/>
      <x:c r="C29" s="56" t="str"/>
      <x:c r="D29" s="56" t="str"/>
      <x:c r="E29" s="56" t="str"/>
      <x:c r="F29" s="56" t="str"/>
      <x:c r="G29" s="56" t="str"/>
      <x:c r="H29" s="56" t="str"/>
      <x:c r="I29" s="56" t="str"/>
      <x:c r="J29" s="56" t="str"/>
      <x:c r="K29" s="78" t="str"/>
    </x:row>
    <x:row r="30">
      <x:c r="A30" s="56" t="str"/>
      <x:c r="B30" s="56" t="str"/>
      <x:c r="C30" s="56" t="str"/>
      <x:c r="D30" s="56" t="str"/>
      <x:c r="E30" s="56" t="str"/>
      <x:c r="F30" s="56" t="str"/>
      <x:c r="G30" s="56" t="str"/>
      <x:c r="H30" s="56" t="str"/>
      <x:c r="I30" s="56" t="str"/>
      <x:c r="J30" s="56" t="str"/>
      <x:c r="K30" s="78" t="str"/>
    </x:row>
    <x:row r="31">
      <x:c r="A31" s="56" t="str"/>
      <x:c r="B31" s="56" t="str"/>
      <x:c r="C31" s="56" t="str"/>
      <x:c r="D31" s="56" t="str"/>
      <x:c r="E31" s="56" t="str"/>
      <x:c r="F31" s="56" t="str"/>
      <x:c r="G31" s="56" t="str"/>
      <x:c r="H31" s="56" t="str"/>
      <x:c r="I31" s="56" t="str"/>
      <x:c r="J31" s="56" t="str"/>
      <x:c r="K31" s="78" t="str"/>
    </x:row>
    <x:row r="32">
      <x:c r="A32" s="56" t="str"/>
      <x:c r="B32" s="56" t="str"/>
      <x:c r="C32" s="56" t="str"/>
      <x:c r="D32" s="56" t="str"/>
      <x:c r="E32" s="56" t="str"/>
      <x:c r="F32" s="56" t="str"/>
      <x:c r="G32" s="56" t="str"/>
      <x:c r="H32" s="56" t="str"/>
      <x:c r="I32" s="56" t="str"/>
      <x:c r="J32" s="56" t="str"/>
      <x:c r="K32" s="78" t="str"/>
    </x:row>
    <x:row r="33">
      <x:c r="A33" s="56" t="str"/>
      <x:c r="B33" s="56" t="str"/>
      <x:c r="C33" s="56" t="str"/>
      <x:c r="D33" s="56" t="str"/>
      <x:c r="E33" s="56" t="str"/>
      <x:c r="F33" s="56" t="str"/>
      <x:c r="G33" s="56" t="str"/>
      <x:c r="H33" s="56" t="str"/>
      <x:c r="I33" s="56" t="str"/>
      <x:c r="J33" s="56" t="str"/>
      <x:c r="K33" s="78" t="str"/>
    </x:row>
    <x:row r="34">
      <x:c r="A34" s="56" t="str"/>
      <x:c r="B34" s="56" t="str"/>
      <x:c r="C34" s="56" t="str"/>
      <x:c r="D34" s="56" t="str"/>
      <x:c r="E34" s="56" t="str"/>
      <x:c r="F34" s="56" t="str"/>
      <x:c r="G34" s="56" t="str"/>
      <x:c r="H34" s="56" t="str"/>
      <x:c r="I34" s="56" t="str"/>
      <x:c r="J34" s="56" t="str"/>
      <x:c r="K34" s="78" t="str"/>
    </x:row>
    <x:row r="35">
      <x:c r="A35" s="56" t="str"/>
      <x:c r="B35" s="56" t="str"/>
      <x:c r="C35" s="56" t="str"/>
      <x:c r="D35" s="56" t="str"/>
      <x:c r="E35" s="56" t="str"/>
      <x:c r="F35" s="56" t="str"/>
      <x:c r="G35" s="56" t="str"/>
      <x:c r="H35" s="56" t="str"/>
      <x:c r="I35" s="56" t="str"/>
      <x:c r="J35" s="56" t="str"/>
      <x:c r="K35" s="78" t="str"/>
    </x:row>
    <x:row r="36">
      <x:c r="A36" s="56" t="str"/>
      <x:c r="B36" s="56" t="str"/>
      <x:c r="C36" s="56" t="str"/>
      <x:c r="D36" s="56" t="str"/>
      <x:c r="E36" s="56" t="str"/>
      <x:c r="F36" s="56" t="str"/>
      <x:c r="G36" s="56" t="str"/>
      <x:c r="H36" s="56" t="str"/>
      <x:c r="I36" s="56" t="str"/>
      <x:c r="J36" s="56" t="str"/>
      <x:c r="K36" s="78" t="str"/>
    </x:row>
    <x:row r="37">
      <x:c r="A37" s="56" t="str"/>
      <x:c r="B37" s="56" t="str"/>
      <x:c r="C37" s="56" t="str"/>
      <x:c r="D37" s="56" t="str"/>
      <x:c r="E37" s="56" t="str"/>
      <x:c r="F37" s="56" t="str"/>
      <x:c r="G37" s="56" t="str"/>
      <x:c r="H37" s="56" t="str"/>
      <x:c r="I37" s="56" t="str"/>
      <x:c r="J37" s="56" t="str"/>
      <x:c r="K37" s="78" t="str"/>
    </x:row>
    <x:row r="38">
      <x:c r="A38" s="56" t="str"/>
      <x:c r="B38" s="56" t="str"/>
      <x:c r="C38" s="56" t="str"/>
      <x:c r="D38" s="56" t="str"/>
      <x:c r="E38" s="56" t="str"/>
      <x:c r="F38" s="56" t="str"/>
      <x:c r="G38" s="56" t="str"/>
      <x:c r="H38" s="56" t="str"/>
      <x:c r="I38" s="56" t="str"/>
      <x:c r="J38" s="56" t="str"/>
      <x:c r="K38" s="78" t="str"/>
    </x:row>
    <x:row r="39">
      <x:c r="A39" s="56" t="str"/>
      <x:c r="B39" s="56" t="str"/>
      <x:c r="C39" s="56" t="str"/>
      <x:c r="D39" s="56" t="str"/>
      <x:c r="E39" s="56" t="str"/>
      <x:c r="F39" s="56" t="str"/>
      <x:c r="G39" s="56" t="str"/>
      <x:c r="H39" s="56" t="str"/>
      <x:c r="I39" s="56" t="str"/>
      <x:c r="J39" s="56" t="str"/>
      <x:c r="K39" s="78" t="str"/>
    </x:row>
    <x:row r="40">
      <x:c r="A40" s="56" t="str"/>
      <x:c r="B40" s="56" t="str"/>
      <x:c r="C40" s="56" t="str"/>
      <x:c r="D40" s="56" t="str"/>
      <x:c r="E40" s="56" t="str"/>
      <x:c r="F40" s="56" t="str"/>
      <x:c r="G40" s="56" t="str"/>
      <x:c r="H40" s="56" t="str"/>
      <x:c r="I40" s="56" t="str"/>
      <x:c r="J40" s="56" t="str"/>
      <x:c r="K40" s="78" t="str"/>
    </x:row>
    <x:row r="41">
      <x:c r="A41" s="56" t="str"/>
      <x:c r="B41" s="56" t="str"/>
      <x:c r="C41" s="56" t="str"/>
      <x:c r="D41" s="56" t="str"/>
      <x:c r="E41" s="56" t="str"/>
      <x:c r="F41" s="56" t="str"/>
      <x:c r="G41" s="56" t="str"/>
      <x:c r="H41" s="56" t="str"/>
      <x:c r="I41" s="56" t="str"/>
      <x:c r="J41" s="56" t="str"/>
      <x:c r="K41" s="78" t="str"/>
    </x:row>
    <x:row r="42">
      <x:c r="A42" s="56" t="str"/>
      <x:c r="B42" s="56" t="str"/>
      <x:c r="C42" s="56" t="str"/>
      <x:c r="D42" s="56" t="str"/>
      <x:c r="E42" s="56" t="str"/>
      <x:c r="F42" s="56" t="str"/>
      <x:c r="G42" s="56" t="str"/>
      <x:c r="H42" s="56" t="str"/>
      <x:c r="I42" s="56" t="str"/>
      <x:c r="J42" s="56" t="str"/>
      <x:c r="K42" s="78" t="str"/>
    </x:row>
    <x:row r="43">
      <x:c r="A43" s="56" t="str"/>
      <x:c r="B43" s="56" t="str"/>
      <x:c r="C43" s="56" t="str"/>
      <x:c r="D43" s="56" t="str"/>
      <x:c r="E43" s="56" t="str"/>
      <x:c r="F43" s="56" t="str"/>
      <x:c r="G43" s="56" t="str"/>
      <x:c r="H43" s="56" t="str"/>
      <x:c r="I43" s="56" t="str"/>
      <x:c r="J43" s="56" t="str"/>
      <x:c r="K43" s="78" t="str"/>
    </x:row>
    <x:row r="44">
      <x:c r="A44" s="56" t="str"/>
      <x:c r="B44" s="56" t="str"/>
      <x:c r="C44" s="56" t="str"/>
      <x:c r="D44" s="56" t="str"/>
      <x:c r="E44" s="56" t="str"/>
      <x:c r="F44" s="56" t="str"/>
      <x:c r="G44" s="56" t="str"/>
      <x:c r="H44" s="56" t="str"/>
      <x:c r="I44" s="56" t="str"/>
      <x:c r="J44" s="56" t="str"/>
      <x:c r="K44" s="78" t="str"/>
    </x:row>
    <x:row r="45">
      <x:c r="A45" s="56" t="str"/>
      <x:c r="B45" s="56" t="str"/>
      <x:c r="C45" s="56" t="str"/>
      <x:c r="D45" s="56" t="str"/>
      <x:c r="E45" s="56" t="str"/>
      <x:c r="F45" s="56" t="str"/>
      <x:c r="G45" s="56" t="str"/>
      <x:c r="H45" s="56" t="str"/>
      <x:c r="I45" s="56" t="str"/>
      <x:c r="J45" s="56" t="str"/>
      <x:c r="K45" s="78" t="str"/>
    </x:row>
    <x:row r="46">
      <x:c r="A46" s="56" t="str"/>
      <x:c r="B46" s="56" t="str"/>
      <x:c r="C46" s="56" t="str"/>
      <x:c r="D46" s="56" t="str"/>
      <x:c r="E46" s="56" t="str"/>
      <x:c r="F46" s="56" t="str"/>
      <x:c r="G46" s="56" t="str"/>
      <x:c r="H46" s="56" t="str"/>
      <x:c r="I46" s="56" t="str"/>
      <x:c r="J46" s="56" t="str"/>
      <x:c r="K46" s="78" t="str"/>
    </x:row>
    <x:row r="47">
      <x:c r="A47" s="56" t="str"/>
      <x:c r="B47" s="56" t="str"/>
      <x:c r="C47" s="56" t="str"/>
      <x:c r="D47" s="56" t="str"/>
      <x:c r="E47" s="56" t="str"/>
      <x:c r="F47" s="56" t="str"/>
      <x:c r="G47" s="56" t="str"/>
      <x:c r="H47" s="56" t="str"/>
      <x:c r="I47" s="56" t="str"/>
      <x:c r="J47" s="56" t="str"/>
      <x:c r="K47" s="78" t="str"/>
    </x:row>
    <x:row r="48">
      <x:c r="A48" s="56" t="str"/>
      <x:c r="B48" s="56" t="str"/>
      <x:c r="C48" s="56" t="str"/>
      <x:c r="D48" s="56" t="str"/>
      <x:c r="E48" s="56" t="str"/>
      <x:c r="F48" s="56" t="str"/>
      <x:c r="G48" s="56" t="str"/>
      <x:c r="H48" s="56" t="str"/>
      <x:c r="I48" s="56" t="str"/>
      <x:c r="J48" s="56" t="str"/>
      <x:c r="K48" s="78" t="str"/>
    </x:row>
    <x:row r="49">
      <x:c r="A49" s="56" t="str"/>
      <x:c r="B49" s="56" t="str"/>
      <x:c r="C49" s="56" t="str"/>
      <x:c r="D49" s="56" t="str"/>
      <x:c r="E49" s="56" t="str"/>
      <x:c r="F49" s="56" t="str"/>
      <x:c r="G49" s="56" t="str"/>
      <x:c r="H49" s="56" t="str"/>
      <x:c r="I49" s="56" t="str"/>
      <x:c r="J49" s="56" t="str"/>
      <x:c r="K49" s="78" t="str"/>
    </x:row>
    <x:row r="50">
      <x:c r="A50" s="56" t="str"/>
      <x:c r="B50" s="56" t="str"/>
      <x:c r="C50" s="56" t="str"/>
      <x:c r="D50" s="56" t="str"/>
      <x:c r="E50" s="56" t="str"/>
      <x:c r="F50" s="56" t="str"/>
      <x:c r="G50" s="56" t="str"/>
      <x:c r="H50" s="56" t="str"/>
      <x:c r="I50" s="56" t="str"/>
      <x:c r="J50" s="56" t="str"/>
      <x:c r="K50" s="78" t="str"/>
    </x:row>
    <x:row r="51">
      <x:c r="A51" s="56" t="str"/>
      <x:c r="B51" s="56" t="str"/>
      <x:c r="C51" s="56" t="str"/>
      <x:c r="D51" s="56" t="str"/>
      <x:c r="E51" s="56" t="str"/>
      <x:c r="F51" s="56" t="str"/>
      <x:c r="G51" s="56" t="str"/>
      <x:c r="H51" s="56" t="str"/>
      <x:c r="I51" s="56" t="str"/>
      <x:c r="J51" s="56" t="str"/>
      <x:c r="K51" s="78" t="str"/>
    </x:row>
    <x:row r="52">
      <x:c r="A52" s="56" t="str"/>
      <x:c r="B52" s="56" t="str"/>
      <x:c r="C52" s="56" t="str"/>
      <x:c r="D52" s="56" t="str"/>
      <x:c r="E52" s="56" t="str"/>
      <x:c r="F52" s="56" t="str"/>
      <x:c r="G52" s="56" t="str"/>
      <x:c r="H52" s="56" t="str"/>
      <x:c r="I52" s="56" t="str"/>
      <x:c r="J52" s="56" t="str"/>
      <x:c r="K52" s="78" t="str"/>
    </x:row>
    <x:row r="53">
      <x:c r="A53" s="56" t="str"/>
      <x:c r="B53" s="56" t="str"/>
      <x:c r="C53" s="56" t="str"/>
      <x:c r="D53" s="56" t="str"/>
      <x:c r="E53" s="56" t="str"/>
      <x:c r="F53" s="56" t="str"/>
      <x:c r="G53" s="56" t="str"/>
      <x:c r="H53" s="56" t="str"/>
      <x:c r="I53" s="56" t="str"/>
      <x:c r="J53" s="56" t="str"/>
      <x:c r="K53" s="78" t="str"/>
    </x:row>
    <x:row r="54">
      <x:c r="A54" s="56" t="str"/>
      <x:c r="B54" s="56" t="str"/>
      <x:c r="C54" s="56" t="str"/>
      <x:c r="D54" s="56" t="str"/>
      <x:c r="E54" s="56" t="str"/>
      <x:c r="F54" s="56" t="str"/>
      <x:c r="G54" s="56" t="str"/>
      <x:c r="H54" s="56" t="str"/>
      <x:c r="I54" s="56" t="str"/>
      <x:c r="J54" s="56" t="str"/>
      <x:c r="K54" s="78" t="str"/>
    </x:row>
    <x:row r="55">
      <x:c r="A55" s="56" t="str"/>
      <x:c r="B55" s="56" t="str"/>
      <x:c r="C55" s="56" t="str"/>
      <x:c r="D55" s="56" t="str"/>
      <x:c r="E55" s="56" t="str"/>
      <x:c r="F55" s="56" t="str"/>
      <x:c r="G55" s="56" t="str"/>
      <x:c r="H55" s="56" t="str"/>
      <x:c r="I55" s="56" t="str"/>
      <x:c r="J55" s="56" t="str"/>
      <x:c r="K55" s="78" t="str"/>
    </x:row>
    <x:row r="56">
      <x:c r="A56" s="56" t="str"/>
      <x:c r="B56" s="56" t="str"/>
      <x:c r="C56" s="56" t="str"/>
      <x:c r="D56" s="56" t="str"/>
      <x:c r="E56" s="56" t="str"/>
      <x:c r="F56" s="56" t="str"/>
      <x:c r="G56" s="56" t="str"/>
      <x:c r="H56" s="56" t="str"/>
      <x:c r="I56" s="56" t="str"/>
      <x:c r="J56" s="56" t="str"/>
      <x:c r="K56" s="78" t="str"/>
    </x:row>
    <x:row r="57">
      <x:c r="A57" s="56" t="str"/>
      <x:c r="B57" s="56" t="str"/>
      <x:c r="C57" s="56" t="str"/>
      <x:c r="D57" s="56" t="str"/>
      <x:c r="E57" s="56" t="str"/>
      <x:c r="F57" s="56" t="str"/>
      <x:c r="G57" s="56" t="str"/>
      <x:c r="H57" s="56" t="str"/>
      <x:c r="I57" s="56" t="str"/>
      <x:c r="J57" s="56" t="str"/>
      <x:c r="K57" s="78" t="str"/>
    </x:row>
    <x:row r="58">
      <x:c r="A58" s="56" t="str"/>
      <x:c r="B58" s="56" t="str"/>
      <x:c r="C58" s="56" t="str"/>
      <x:c r="D58" s="56" t="str"/>
      <x:c r="E58" s="56" t="str"/>
      <x:c r="F58" s="56" t="str"/>
      <x:c r="G58" s="56" t="str"/>
      <x:c r="H58" s="56" t="str"/>
      <x:c r="I58" s="56" t="str"/>
      <x:c r="J58" s="56" t="str"/>
      <x:c r="K58" s="78" t="str"/>
    </x:row>
    <x:row r="59">
      <x:c r="A59" s="56" t="str"/>
      <x:c r="B59" s="56" t="str"/>
      <x:c r="C59" s="56" t="str"/>
      <x:c r="D59" s="56" t="str"/>
      <x:c r="E59" s="56" t="str"/>
      <x:c r="F59" s="56" t="str"/>
      <x:c r="G59" s="56" t="str"/>
      <x:c r="H59" s="56" t="str"/>
      <x:c r="I59" s="56" t="str"/>
      <x:c r="J59" s="56" t="str"/>
      <x:c r="K59" s="78" t="str"/>
    </x:row>
    <x:row r="60">
      <x:c r="A60" s="56" t="str"/>
      <x:c r="B60" s="56" t="str"/>
      <x:c r="C60" s="56" t="str"/>
      <x:c r="D60" s="56" t="str"/>
      <x:c r="E60" s="56" t="str"/>
      <x:c r="F60" s="56" t="str"/>
      <x:c r="G60" s="56" t="str"/>
      <x:c r="H60" s="56" t="str"/>
      <x:c r="I60" s="56" t="str"/>
      <x:c r="J60" s="56" t="str"/>
      <x:c r="K60" s="78" t="str"/>
    </x:row>
    <x:row r="61">
      <x:c r="A61" s="56" t="str"/>
      <x:c r="B61" s="56" t="str"/>
      <x:c r="C61" s="56" t="str"/>
      <x:c r="D61" s="56" t="str"/>
      <x:c r="E61" s="56" t="str"/>
      <x:c r="F61" s="56" t="str"/>
      <x:c r="G61" s="56" t="str"/>
      <x:c r="H61" s="56" t="str"/>
      <x:c r="I61" s="56" t="str"/>
      <x:c r="J61" s="56" t="str"/>
      <x:c r="K61" s="78" t="str"/>
    </x:row>
    <x:row r="62">
      <x:c r="A62" s="56" t="str"/>
      <x:c r="B62" s="56" t="str"/>
      <x:c r="C62" s="56" t="str"/>
      <x:c r="D62" s="56" t="str"/>
      <x:c r="E62" s="56" t="str"/>
      <x:c r="F62" s="56" t="str"/>
      <x:c r="G62" s="56" t="str"/>
      <x:c r="H62" s="56" t="str"/>
      <x:c r="I62" s="56" t="str"/>
      <x:c r="J62" s="56" t="str"/>
      <x:c r="K62" s="78" t="str"/>
    </x:row>
    <x:row r="63">
      <x:c r="A63" s="56" t="str"/>
      <x:c r="B63" s="56" t="str"/>
      <x:c r="C63" s="56" t="str"/>
      <x:c r="D63" s="56" t="str"/>
      <x:c r="E63" s="56" t="str"/>
      <x:c r="F63" s="56" t="str"/>
      <x:c r="G63" s="56" t="str"/>
      <x:c r="H63" s="56" t="str"/>
      <x:c r="I63" s="56" t="str"/>
      <x:c r="J63" s="56" t="str"/>
      <x:c r="K63" s="78" t="str"/>
    </x:row>
    <x:row r="64">
      <x:c r="A64" s="56" t="str"/>
      <x:c r="B64" s="56" t="str"/>
      <x:c r="C64" s="56" t="str"/>
      <x:c r="D64" s="56" t="str"/>
      <x:c r="E64" s="56" t="str"/>
      <x:c r="F64" s="56" t="str"/>
      <x:c r="G64" s="56" t="str"/>
      <x:c r="H64" s="56" t="str"/>
      <x:c r="I64" s="56" t="str"/>
      <x:c r="J64" s="56" t="str"/>
      <x:c r="K64" s="78" t="str"/>
    </x:row>
    <x:row r="65">
      <x:c r="A65" s="56" t="str"/>
      <x:c r="B65" s="56" t="str"/>
      <x:c r="C65" s="56" t="str"/>
      <x:c r="D65" s="56" t="str"/>
      <x:c r="E65" s="56" t="str"/>
      <x:c r="F65" s="56" t="str"/>
      <x:c r="G65" s="56" t="str"/>
      <x:c r="H65" s="56" t="str"/>
      <x:c r="I65" s="56" t="str"/>
      <x:c r="J65" s="56" t="str"/>
      <x:c r="K65" s="78" t="str"/>
    </x:row>
    <x:row r="66">
      <x:c r="A66" s="56" t="str"/>
      <x:c r="B66" s="56" t="str"/>
      <x:c r="C66" s="56" t="str"/>
      <x:c r="D66" s="56" t="str"/>
      <x:c r="E66" s="56" t="str"/>
      <x:c r="F66" s="56" t="str"/>
      <x:c r="G66" s="56" t="str"/>
      <x:c r="H66" s="56" t="str"/>
      <x:c r="I66" s="56" t="str"/>
      <x:c r="J66" s="56" t="str"/>
      <x:c r="K66" s="78" t="str"/>
    </x:row>
    <x:row r="67">
      <x:c r="A67" s="56" t="str"/>
      <x:c r="B67" s="56" t="str"/>
      <x:c r="C67" s="56" t="str"/>
      <x:c r="D67" s="56" t="str"/>
      <x:c r="E67" s="56" t="str"/>
      <x:c r="F67" s="56" t="str"/>
      <x:c r="G67" s="56" t="str"/>
      <x:c r="H67" s="56" t="str"/>
      <x:c r="I67" s="56" t="str"/>
      <x:c r="J67" s="56" t="str"/>
      <x:c r="K67" s="78" t="str"/>
    </x:row>
    <x:row r="68">
      <x:c r="A68" s="56" t="str"/>
      <x:c r="B68" s="56" t="str"/>
      <x:c r="C68" s="56" t="str"/>
      <x:c r="D68" s="56" t="str"/>
      <x:c r="E68" s="56" t="str"/>
      <x:c r="F68" s="56" t="str"/>
      <x:c r="G68" s="56" t="str"/>
      <x:c r="H68" s="56" t="str"/>
      <x:c r="I68" s="56" t="str"/>
      <x:c r="J68" s="56" t="str"/>
      <x:c r="K68" s="78" t="str"/>
    </x:row>
    <x:row r="69">
      <x:c r="A69" s="56" t="str"/>
      <x:c r="B69" s="56" t="str"/>
      <x:c r="C69" s="56" t="str"/>
      <x:c r="D69" s="56" t="str"/>
      <x:c r="E69" s="56" t="str"/>
      <x:c r="F69" s="56" t="str"/>
      <x:c r="G69" s="56" t="str"/>
      <x:c r="H69" s="56" t="str"/>
      <x:c r="I69" s="56" t="str"/>
      <x:c r="J69" s="56" t="str"/>
      <x:c r="K69" s="78" t="str"/>
    </x:row>
    <x:row r="70">
      <x:c r="A70" s="56" t="str"/>
      <x:c r="B70" s="56" t="str"/>
      <x:c r="C70" s="56" t="str"/>
      <x:c r="D70" s="56" t="str"/>
      <x:c r="E70" s="56" t="str"/>
      <x:c r="F70" s="56" t="str"/>
      <x:c r="G70" s="56" t="str"/>
      <x:c r="H70" s="56" t="str"/>
      <x:c r="I70" s="56" t="str"/>
      <x:c r="J70" s="56" t="str"/>
      <x:c r="K70" s="78" t="str"/>
    </x:row>
    <x:row r="71">
      <x:c r="A71" s="56" t="str"/>
      <x:c r="B71" s="56" t="str"/>
      <x:c r="C71" s="56" t="str"/>
      <x:c r="D71" s="56" t="str"/>
      <x:c r="E71" s="56" t="str"/>
      <x:c r="F71" s="56" t="str"/>
      <x:c r="G71" s="56" t="str"/>
      <x:c r="H71" s="56" t="str"/>
      <x:c r="I71" s="56" t="str"/>
      <x:c r="J71" s="56" t="str"/>
      <x:c r="K71" s="78" t="str"/>
    </x:row>
    <x:row r="72">
      <x:c r="A72" s="56" t="str"/>
      <x:c r="B72" s="56" t="str"/>
      <x:c r="C72" s="56" t="str"/>
      <x:c r="D72" s="56" t="str"/>
      <x:c r="E72" s="56" t="str"/>
      <x:c r="F72" s="56" t="str"/>
      <x:c r="G72" s="56" t="str"/>
      <x:c r="H72" s="56" t="str"/>
      <x:c r="I72" s="56" t="str"/>
      <x:c r="J72" s="56" t="str"/>
      <x:c r="K72" s="78" t="str"/>
    </x:row>
    <x:row r="73">
      <x:c r="A73" s="56" t="str"/>
      <x:c r="B73" s="56" t="str"/>
      <x:c r="C73" s="56" t="str"/>
      <x:c r="D73" s="56" t="str"/>
      <x:c r="E73" s="56" t="str"/>
      <x:c r="F73" s="56" t="str"/>
      <x:c r="G73" s="56" t="str"/>
      <x:c r="H73" s="56" t="str"/>
      <x:c r="I73" s="56" t="str"/>
      <x:c r="J73" s="56" t="str"/>
      <x:c r="K73" s="78" t="str"/>
    </x:row>
    <x:row r="74">
      <x:c r="A74" s="56" t="str"/>
      <x:c r="B74" s="56" t="str"/>
      <x:c r="C74" s="56" t="str"/>
      <x:c r="D74" s="56" t="str"/>
      <x:c r="E74" s="56" t="str"/>
      <x:c r="F74" s="56" t="str"/>
      <x:c r="G74" s="56" t="str"/>
      <x:c r="H74" s="56" t="str"/>
      <x:c r="I74" s="56" t="str"/>
      <x:c r="J74" s="56" t="str"/>
      <x:c r="K74" s="78" t="str"/>
    </x:row>
    <x:row r="75">
      <x:c r="A75" s="56" t="str"/>
      <x:c r="B75" s="56" t="str"/>
      <x:c r="C75" s="56" t="str"/>
      <x:c r="D75" s="56" t="str"/>
      <x:c r="E75" s="56" t="str"/>
      <x:c r="F75" s="56" t="str"/>
      <x:c r="G75" s="56" t="str"/>
      <x:c r="H75" s="56" t="str"/>
      <x:c r="I75" s="56" t="str"/>
      <x:c r="J75" s="56" t="str"/>
      <x:c r="K75" s="78" t="str"/>
    </x:row>
    <x:row r="76">
      <x:c r="A76" s="56" t="str"/>
      <x:c r="B76" s="56" t="str"/>
      <x:c r="C76" s="56" t="str"/>
      <x:c r="D76" s="56" t="str"/>
      <x:c r="E76" s="56" t="str"/>
      <x:c r="F76" s="56" t="str"/>
      <x:c r="G76" s="56" t="str"/>
      <x:c r="H76" s="56" t="str"/>
      <x:c r="I76" s="56" t="str"/>
      <x:c r="J76" s="56" t="str"/>
      <x:c r="K76" s="78" t="str"/>
    </x:row>
    <x:row r="77">
      <x:c r="A77" s="56" t="str"/>
      <x:c r="B77" s="56" t="str"/>
      <x:c r="C77" s="56" t="str"/>
      <x:c r="D77" s="56" t="str"/>
      <x:c r="E77" s="56" t="str"/>
      <x:c r="F77" s="56" t="str"/>
      <x:c r="G77" s="56" t="str"/>
      <x:c r="H77" s="56" t="str"/>
      <x:c r="I77" s="56" t="str"/>
      <x:c r="J77" s="56" t="str"/>
      <x:c r="K77" s="78" t="str"/>
    </x:row>
    <x:row r="78">
      <x:c r="A78" s="56" t="str"/>
      <x:c r="B78" s="56" t="str"/>
      <x:c r="C78" s="56" t="str"/>
      <x:c r="D78" s="56" t="str"/>
      <x:c r="E78" s="56" t="str"/>
      <x:c r="F78" s="56" t="str"/>
      <x:c r="G78" s="56" t="str"/>
      <x:c r="H78" s="56" t="str"/>
      <x:c r="I78" s="56" t="str"/>
      <x:c r="J78" s="56" t="str"/>
      <x:c r="K78" s="78" t="str"/>
    </x:row>
    <x:row r="79">
      <x:c r="A79" s="56" t="str"/>
      <x:c r="B79" s="56" t="str"/>
      <x:c r="C79" s="56" t="str"/>
      <x:c r="D79" s="56" t="str"/>
      <x:c r="E79" s="56" t="str"/>
      <x:c r="F79" s="56" t="str"/>
      <x:c r="G79" s="56" t="str"/>
      <x:c r="H79" s="56" t="str"/>
      <x:c r="I79" s="56" t="str"/>
      <x:c r="J79" s="56" t="str"/>
      <x:c r="K79" s="78" t="str"/>
    </x:row>
    <x:row r="80">
      <x:c r="A80" s="56" t="str"/>
      <x:c r="B80" s="56" t="str"/>
      <x:c r="C80" s="56" t="str"/>
      <x:c r="D80" s="56" t="str"/>
      <x:c r="E80" s="56" t="str"/>
      <x:c r="F80" s="56" t="str"/>
      <x:c r="G80" s="56" t="str"/>
      <x:c r="H80" s="56" t="str"/>
      <x:c r="I80" s="56" t="str"/>
      <x:c r="J80" s="56" t="str"/>
      <x:c r="K80" s="78" t="str"/>
    </x:row>
    <x:row r="81">
      <x:c r="A81" s="56" t="str"/>
      <x:c r="B81" s="56" t="str"/>
      <x:c r="C81" s="56" t="str"/>
      <x:c r="D81" s="56" t="str"/>
      <x:c r="E81" s="56" t="str"/>
      <x:c r="F81" s="56" t="str"/>
      <x:c r="G81" s="56" t="str"/>
      <x:c r="H81" s="56" t="str"/>
      <x:c r="I81" s="56" t="str"/>
      <x:c r="J81" s="56" t="str"/>
      <x:c r="K81" s="78" t="str"/>
    </x:row>
    <x:row r="82">
      <x:c r="A82" s="56" t="str"/>
      <x:c r="B82" s="56" t="str"/>
      <x:c r="C82" s="56" t="str"/>
      <x:c r="D82" s="56" t="str"/>
      <x:c r="E82" s="56" t="str"/>
      <x:c r="F82" s="56" t="str"/>
      <x:c r="G82" s="56" t="str"/>
      <x:c r="H82" s="56" t="str"/>
      <x:c r="I82" s="56" t="str"/>
      <x:c r="J82" s="56" t="str"/>
      <x:c r="K82" s="78" t="str"/>
    </x:row>
    <x:row r="83">
      <x:c r="A83" s="56" t="str"/>
      <x:c r="B83" s="56" t="str"/>
      <x:c r="C83" s="56" t="str"/>
      <x:c r="D83" s="56" t="str"/>
      <x:c r="E83" s="56" t="str"/>
      <x:c r="F83" s="56" t="str"/>
      <x:c r="G83" s="56" t="str"/>
      <x:c r="H83" s="56" t="str"/>
      <x:c r="I83" s="56" t="str"/>
      <x:c r="J83" s="56" t="str"/>
      <x:c r="K83" s="78" t="str"/>
    </x:row>
    <x:row r="84">
      <x:c r="A84" s="56" t="str"/>
      <x:c r="B84" s="56" t="str"/>
      <x:c r="C84" s="56" t="str"/>
      <x:c r="D84" s="56" t="str"/>
      <x:c r="E84" s="56" t="str"/>
      <x:c r="F84" s="56" t="str"/>
      <x:c r="G84" s="56" t="str"/>
      <x:c r="H84" s="56" t="str"/>
      <x:c r="I84" s="56" t="str"/>
      <x:c r="J84" s="56" t="str"/>
      <x:c r="K84" s="78" t="str"/>
    </x:row>
    <x:row r="85">
      <x:c r="A85" s="56" t="str"/>
      <x:c r="B85" s="56" t="str"/>
      <x:c r="C85" s="56" t="str"/>
      <x:c r="D85" s="56" t="str"/>
      <x:c r="E85" s="56" t="str"/>
      <x:c r="F85" s="56" t="str"/>
      <x:c r="G85" s="56" t="str"/>
      <x:c r="H85" s="56" t="str"/>
      <x:c r="I85" s="56" t="str"/>
      <x:c r="J85" s="56" t="str"/>
      <x:c r="K85" s="78" t="str"/>
    </x:row>
    <x:row r="86">
      <x:c r="A86" s="56" t="str"/>
      <x:c r="B86" s="56" t="str"/>
      <x:c r="C86" s="56" t="str"/>
      <x:c r="D86" s="56" t="str"/>
      <x:c r="E86" s="56" t="str"/>
      <x:c r="F86" s="56" t="str"/>
      <x:c r="G86" s="56" t="str"/>
      <x:c r="H86" s="56" t="str"/>
      <x:c r="I86" s="56" t="str"/>
      <x:c r="J86" s="56" t="str"/>
      <x:c r="K86" s="78" t="str"/>
    </x:row>
    <x:row r="87">
      <x:c r="A87" s="56" t="str"/>
      <x:c r="B87" s="56" t="str"/>
      <x:c r="C87" s="56" t="str"/>
      <x:c r="D87" s="56" t="str"/>
      <x:c r="E87" s="56" t="str"/>
      <x:c r="F87" s="56" t="str"/>
      <x:c r="G87" s="56" t="str"/>
      <x:c r="H87" s="56" t="str"/>
      <x:c r="I87" s="56" t="str"/>
      <x:c r="J87" s="56" t="str"/>
      <x:c r="K87" s="78" t="str"/>
    </x:row>
  </x:sheetData>
  <x:mergeCells>
    <x:mergeCell ref="A1:L1"/>
    <x:mergeCell ref="A2:L2"/>
  </x:mergeCells>
  <x:dataValidations count="1">
    <x:dataValidation type="list" sqref="H5:H87">
      <x:formula1>Lists!$A$5:$A$7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a1c57c29d84ff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2" hidden="0" customWidth="1"/>
    <x:col min="5" max="5" width="14" hidden="0" customWidth="1"/>
    <x:col min="6" max="6" width="10" hidden="0" customWidth="1"/>
    <x:col min="7" max="7" width="26" hidden="0" customWidth="1"/>
    <x:col min="8" max="8" width="42" hidden="0" customWidth="1"/>
    <x:col min="9" max="9" width="28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6" hidden="0" customWidth="1"/>
    <x:col min="15" max="15" width="18" hidden="0" customWidth="1"/>
    <x:col min="16" max="16" width="18" hidden="0" customWidth="1"/>
  </x:cols>
  <x:sheetData>
    <x:row r="1" ht="32" customHeight="1">
      <x:c r="A1" s="5" t="str">
        <x:v>Evaluation Worksheet</x:v>
      </x:c>
    </x:row>
    <x:row r="2" ht="26" customHeight="1">
      <x:c r="A2" s="12" t="str">
        <x:v>Evaluator sheet: check auto marks, add manual marks/feedback, then mark status.</x:v>
      </x:c>
    </x:row>
    <x:row r="4">
      <x:c r="A4" s="50" t="str">
        <x:v>AttemptID</x:v>
      </x:c>
      <x:c r="B4" s="50" t="str">
        <x:v>StudentID</x:v>
      </x:c>
      <x:c r="C4" s="50" t="str">
        <x:v>StudentName</x:v>
      </x:c>
      <x:c r="D4" s="50" t="str">
        <x:v>QuestionID</x:v>
      </x:c>
      <x:c r="E4" s="50" t="str">
        <x:v>QuestionType</x:v>
      </x:c>
      <x:c r="F4" s="50" t="str">
        <x:v>MaxMarks</x:v>
      </x:c>
      <x:c r="G4" s="50" t="str">
        <x:v>StudentAnswer</x:v>
      </x:c>
      <x:c r="H4" s="50" t="str">
        <x:v>CodeAnswer</x:v>
      </x:c>
      <x:c r="I4" s="50" t="str">
        <x:v>Correct/Accepted</x:v>
      </x:c>
      <x:c r="J4" s="50" t="str">
        <x:v>AutoMarks</x:v>
      </x:c>
      <x:c r="K4" s="50" t="str">
        <x:v>ManualMarks</x:v>
      </x:c>
      <x:c r="L4" s="50" t="str">
        <x:v>FinalMarks</x:v>
      </x:c>
      <x:c r="M4" s="50" t="str">
        <x:v>IsCorrect</x:v>
      </x:c>
      <x:c r="N4" s="50" t="str">
        <x:v>Feedback</x:v>
      </x:c>
      <x:c r="O4" s="50" t="str">
        <x:v>ReviewStatus</x:v>
      </x:c>
      <x:c r="P4" s="50" t="str">
        <x:v>EvaluatedBy</x:v>
      </x:c>
    </x:row>
    <x:row r="5">
      <x:c r="A5" s="56" t="str">
        <x:f>Student_Responses!A5</x:f>
        <x:v>A001</x:v>
      </x:c>
      <x:c r="B5" s="56" t="str">
        <x:f>Student_Responses!B5</x:f>
        <x:v>S001</x:v>
      </x:c>
      <x:c r="C5" s="56" t="str">
        <x:f>Student_Responses!C5</x:f>
        <x:v>Arun K</x:v>
      </x:c>
      <x:c r="D5" s="56" t="str">
        <x:f>Student_Responses!G5</x:f>
        <x:v>Q001</x:v>
      </x:c>
      <x:c r="E5" s="56" t="str">
        <x:f>Student_Responses!H5</x:f>
        <x:v>MCQ</x:v>
      </x:c>
      <x:c r="F5" s="82" t="n">
        <x:f>IFERROR(VLOOKUP(D5,Answer_Key!$D$5:$V$87,10,FALSE),"")</x:f>
        <x:v>1</x:v>
      </x:c>
      <x:c r="G5" s="56" t="str">
        <x:f>Student_Responses!I5</x:f>
        <x:v>A</x:v>
      </x:c>
      <x:c r="H5" s="56" t="str">
        <x:f>Student_Responses!J5</x:f>
      </x:c>
      <x:c r="I5" s="56" t="str">
        <x:f>IFERROR(VLOOKUP(D5,Answer_Key!$D$5:$V$87,8,FALSE),"")</x:f>
        <x:v>A</x:v>
      </x:c>
      <x:c r="J5" s="82" t="n">
        <x:f>IF(E5="MCQ",IF(G5=IFERROR(VLOOKUP(D5,Answer_Key!$D$5:$V$87,8,FALSE),""),F5,0),IF(E5="FILLUP",IF(OR(LOWER(TRIM(G5))=LOWER(TRIM(IFERROR(VLOOKUP(D5,Answer_Key!$D$5:$V$87,8,FALSE),""))),ISNUMBER(SEARCH(LOWER(TRIM(G5)),LOWER(IFERROR(VLOOKUP(D5,Answer_Key!$D$5:$V$87,9,FALSE),""))))),F5,0),""))</x:f>
        <x:v>1</x:v>
      </x:c>
      <x:c r="K5" s="82"/>
      <x:c r="L5" s="82" t="n">
        <x:f>IF(K5&lt;&gt;"",K5,J5)</x:f>
        <x:v>1</x:v>
      </x:c>
      <x:c r="M5" s="56" t="str">
        <x:f>IF(L5=F5,"Yes",IF(L5=0,"No","Partial"))</x:f>
        <x:v>Yes</x:v>
      </x:c>
      <x:c r="N5" s="56" t="str">
        <x:v>Looks correct.</x:v>
      </x:c>
      <x:c r="O5" s="56" t="str">
        <x:v>Approved</x:v>
      </x:c>
      <x:c r="P5" s="56" t="str">
        <x:v>Teacher</x:v>
      </x:c>
    </x:row>
    <x:row r="6">
      <x:c r="A6" s="56" t="str">
        <x:f>Student_Responses!A6</x:f>
        <x:v>A001</x:v>
      </x:c>
      <x:c r="B6" s="56" t="str">
        <x:f>Student_Responses!B6</x:f>
        <x:v>S001</x:v>
      </x:c>
      <x:c r="C6" s="56" t="str">
        <x:f>Student_Responses!C6</x:f>
        <x:v>Arun K</x:v>
      </x:c>
      <x:c r="D6" s="56" t="str">
        <x:f>Student_Responses!G6</x:f>
        <x:v>Q011</x:v>
      </x:c>
      <x:c r="E6" s="56" t="str">
        <x:f>Student_Responses!H6</x:f>
        <x:v>FILLUP</x:v>
      </x:c>
      <x:c r="F6" s="82" t="n">
        <x:f>IFERROR(VLOOKUP(D6,Answer_Key!$D$5:$V$87,10,FALSE),"")</x:f>
        <x:v>1</x:v>
      </x:c>
      <x:c r="G6" s="56" t="str">
        <x:f>Student_Responses!I6</x:f>
        <x:v>recursive</x:v>
      </x:c>
      <x:c r="H6" s="56" t="str">
        <x:f>Student_Responses!J6</x:f>
      </x:c>
      <x:c r="I6" s="56" t="str">
        <x:f>IFERROR(VLOOKUP(D6,Answer_Key!$D$5:$V$87,8,FALSE),"")</x:f>
        <x:v>recursive</x:v>
      </x:c>
      <x:c r="J6" s="82" t="n">
        <x:f>IF(E6="MCQ",IF(G6=IFERROR(VLOOKUP(D6,Answer_Key!$D$5:$V$87,8,FALSE),""),F6,0),IF(E6="FILLUP",IF(OR(LOWER(TRIM(G6))=LOWER(TRIM(IFERROR(VLOOKUP(D6,Answer_Key!$D$5:$V$87,8,FALSE),""))),ISNUMBER(SEARCH(LOWER(TRIM(G6)),LOWER(IFERROR(VLOOKUP(D6,Answer_Key!$D$5:$V$87,9,FALSE),""))))),F6,0),""))</x:f>
        <x:v>1</x:v>
      </x:c>
      <x:c r="K6" s="82"/>
      <x:c r="L6" s="82" t="n">
        <x:f>IF(K6&lt;&gt;"",K6,J6)</x:f>
        <x:v>1</x:v>
      </x:c>
      <x:c r="M6" s="56" t="str">
        <x:f>IF(L6=F6,"Yes",IF(L6=0,"No","Partial"))</x:f>
        <x:v>Yes</x:v>
      </x:c>
      <x:c r="N6" s="56" t="str">
        <x:v>Accepted.</x:v>
      </x:c>
      <x:c r="O6" s="56" t="str">
        <x:v>Approved</x:v>
      </x:c>
      <x:c r="P6" s="56" t="str">
        <x:v>Teacher</x:v>
      </x:c>
    </x:row>
    <x:row r="7">
      <x:c r="A7" s="56" t="str">
        <x:f>Student_Responses!A7</x:f>
        <x:v>A001</x:v>
      </x:c>
      <x:c r="B7" s="56" t="str">
        <x:f>Student_Responses!B7</x:f>
        <x:v>S001</x:v>
      </x:c>
      <x:c r="C7" s="56" t="str">
        <x:f>Student_Responses!C7</x:f>
        <x:v>Arun K</x:v>
      </x:c>
      <x:c r="D7" s="56" t="str">
        <x:f>Student_Responses!G7</x:f>
        <x:v>Q019</x:v>
      </x:c>
      <x:c r="E7" s="56" t="str">
        <x:f>Student_Responses!H7</x:f>
        <x:v>CODING</x:v>
      </x:c>
      <x:c r="F7" s="82" t="n">
        <x:f>IFERROR(VLOOKUP(D7,Answer_Key!$D$5:$V$87,10,FALSE),"")</x:f>
        <x:v>5</x:v>
      </x:c>
      <x:c r="G7" s="56" t="n">
        <x:f>Student_Responses!I7</x:f>
        <x:v>0</x:v>
      </x:c>
      <x:c r="H7" s="56" t="str">
        <x:f>Student_Responses!J7</x:f>
        <x:v>def square(x):
    return x*x</x:v>
      </x:c>
      <x:c r="I7" s="56" t="str">
        <x:f>IFERROR(VLOOKUP(D7,Answer_Key!$D$5:$V$87,8,FALSE),"")</x:f>
        <x:v>return x * x</x:v>
      </x:c>
      <x:c r="J7" s="82" t="str">
        <x:f>IF(E7="MCQ",IF(G7=IFERROR(VLOOKUP(D7,Answer_Key!$D$5:$V$87,8,FALSE),""),F7,0),IF(E7="FILLUP",IF(OR(LOWER(TRIM(G7))=LOWER(TRIM(IFERROR(VLOOKUP(D7,Answer_Key!$D$5:$V$87,8,FALSE),""))),ISNUMBER(SEARCH(LOWER(TRIM(G7)),LOWER(IFERROR(VLOOKUP(D7,Answer_Key!$D$5:$V$87,9,FALSE),""))))),F7,0),""))</x:f>
      </x:c>
      <x:c r="K7" s="82" t="n">
        <x:v>5</x:v>
      </x:c>
      <x:c r="L7" s="82" t="n">
        <x:f>IF(K7&lt;&gt;"",K7,J7)</x:f>
        <x:v>5</x:v>
      </x:c>
      <x:c r="M7" s="56" t="str">
        <x:f>IF(L7=F7,"Yes",IF(L7=0,"No","Partial"))</x:f>
        <x:v>Yes</x:v>
      </x:c>
      <x:c r="N7" s="56" t="str">
        <x:v>Function returns x*x.</x:v>
      </x:c>
      <x:c r="O7" s="56" t="str">
        <x:v>Approved</x:v>
      </x:c>
      <x:c r="P7" s="56" t="str">
        <x:v>Teacher</x:v>
      </x:c>
    </x:row>
    <x:row r="8">
      <x:c r="A8" s="56" t="n">
        <x:f>Student_Responses!A8</x:f>
        <x:v>0</x:v>
      </x:c>
      <x:c r="B8" s="56" t="n">
        <x:f>Student_Responses!B8</x:f>
        <x:v>0</x:v>
      </x:c>
      <x:c r="C8" s="56" t="n">
        <x:f>Student_Responses!C8</x:f>
        <x:v>0</x:v>
      </x:c>
      <x:c r="D8" s="56" t="n">
        <x:f>Student_Responses!G8</x:f>
        <x:v>0</x:v>
      </x:c>
      <x:c r="E8" s="56" t="n">
        <x:f>Student_Responses!H8</x:f>
        <x:v>0</x:v>
      </x:c>
      <x:c r="F8" s="82" t="str">
        <x:f>IFERROR(VLOOKUP(D8,Answer_Key!$D$5:$V$87,10,FALSE),"")</x:f>
      </x:c>
      <x:c r="G8" s="56" t="n">
        <x:f>Student_Responses!I8</x:f>
        <x:v>0</x:v>
      </x:c>
      <x:c r="H8" s="56" t="n">
        <x:f>Student_Responses!J8</x:f>
        <x:v>0</x:v>
      </x:c>
      <x:c r="I8" s="56" t="str">
        <x:f>IFERROR(VLOOKUP(D8,Answer_Key!$D$5:$V$87,8,FALSE),"")</x:f>
      </x:c>
      <x:c r="J8" s="82" t="str">
        <x:f>IF(E8="MCQ",IF(G8=IFERROR(VLOOKUP(D8,Answer_Key!$D$5:$V$87,8,FALSE),""),F8,0),IF(E8="FILLUP",IF(OR(LOWER(TRIM(G8))=LOWER(TRIM(IFERROR(VLOOKUP(D8,Answer_Key!$D$5:$V$87,8,FALSE),""))),ISNUMBER(SEARCH(LOWER(TRIM(G8)),LOWER(IFERROR(VLOOKUP(D8,Answer_Key!$D$5:$V$87,9,FALSE),""))))),F8,0),""))</x:f>
      </x:c>
      <x:c r="K8" s="82"/>
      <x:c r="L8" s="82" t="str">
        <x:f>IF(K8&lt;&gt;"",K8,J8)</x:f>
      </x:c>
      <x:c r="M8" s="56" t="str">
        <x:f>IF(L8=F8,"Yes",IF(L8=0,"No","Partial"))</x:f>
        <x:v>Yes</x:v>
      </x:c>
      <x:c r="N8" s="56"/>
      <x:c r="O8" s="56"/>
      <x:c r="P8" s="56"/>
    </x:row>
    <x:row r="9">
      <x:c r="A9" s="56" t="n">
        <x:f>Student_Responses!A9</x:f>
        <x:v>0</x:v>
      </x:c>
      <x:c r="B9" s="56" t="n">
        <x:f>Student_Responses!B9</x:f>
        <x:v>0</x:v>
      </x:c>
      <x:c r="C9" s="56" t="n">
        <x:f>Student_Responses!C9</x:f>
        <x:v>0</x:v>
      </x:c>
      <x:c r="D9" s="56" t="n">
        <x:f>Student_Responses!G9</x:f>
        <x:v>0</x:v>
      </x:c>
      <x:c r="E9" s="56" t="n">
        <x:f>Student_Responses!H9</x:f>
        <x:v>0</x:v>
      </x:c>
      <x:c r="F9" s="82" t="str">
        <x:f>IFERROR(VLOOKUP(D9,Answer_Key!$D$5:$V$87,10,FALSE),"")</x:f>
      </x:c>
      <x:c r="G9" s="56" t="n">
        <x:f>Student_Responses!I9</x:f>
        <x:v>0</x:v>
      </x:c>
      <x:c r="H9" s="56" t="n">
        <x:f>Student_Responses!J9</x:f>
        <x:v>0</x:v>
      </x:c>
      <x:c r="I9" s="56" t="str">
        <x:f>IFERROR(VLOOKUP(D9,Answer_Key!$D$5:$V$87,8,FALSE),"")</x:f>
      </x:c>
      <x:c r="J9" s="82" t="str">
        <x:f>IF(E9="MCQ",IF(G9=IFERROR(VLOOKUP(D9,Answer_Key!$D$5:$V$87,8,FALSE),""),F9,0),IF(E9="FILLUP",IF(OR(LOWER(TRIM(G9))=LOWER(TRIM(IFERROR(VLOOKUP(D9,Answer_Key!$D$5:$V$87,8,FALSE),""))),ISNUMBER(SEARCH(LOWER(TRIM(G9)),LOWER(IFERROR(VLOOKUP(D9,Answer_Key!$D$5:$V$87,9,FALSE),""))))),F9,0),""))</x:f>
      </x:c>
      <x:c r="K9" s="82"/>
      <x:c r="L9" s="82" t="str">
        <x:f>IF(K9&lt;&gt;"",K9,J9)</x:f>
      </x:c>
      <x:c r="M9" s="56" t="str">
        <x:f>IF(L9=F9,"Yes",IF(L9=0,"No","Partial"))</x:f>
        <x:v>Yes</x:v>
      </x:c>
      <x:c r="N9" s="56"/>
      <x:c r="O9" s="56"/>
      <x:c r="P9" s="56"/>
    </x:row>
    <x:row r="10">
      <x:c r="A10" s="56" t="n">
        <x:f>Student_Responses!A10</x:f>
        <x:v>0</x:v>
      </x:c>
      <x:c r="B10" s="56" t="n">
        <x:f>Student_Responses!B10</x:f>
        <x:v>0</x:v>
      </x:c>
      <x:c r="C10" s="56" t="n">
        <x:f>Student_Responses!C10</x:f>
        <x:v>0</x:v>
      </x:c>
      <x:c r="D10" s="56" t="n">
        <x:f>Student_Responses!G10</x:f>
        <x:v>0</x:v>
      </x:c>
      <x:c r="E10" s="56" t="n">
        <x:f>Student_Responses!H10</x:f>
        <x:v>0</x:v>
      </x:c>
      <x:c r="F10" s="82" t="str">
        <x:f>IFERROR(VLOOKUP(D10,Answer_Key!$D$5:$V$87,10,FALSE),"")</x:f>
      </x:c>
      <x:c r="G10" s="56" t="n">
        <x:f>Student_Responses!I10</x:f>
        <x:v>0</x:v>
      </x:c>
      <x:c r="H10" s="56" t="n">
        <x:f>Student_Responses!J10</x:f>
        <x:v>0</x:v>
      </x:c>
      <x:c r="I10" s="56" t="str">
        <x:f>IFERROR(VLOOKUP(D10,Answer_Key!$D$5:$V$87,8,FALSE),"")</x:f>
      </x:c>
      <x:c r="J10" s="82" t="str">
        <x:f>IF(E10="MCQ",IF(G10=IFERROR(VLOOKUP(D10,Answer_Key!$D$5:$V$87,8,FALSE),""),F10,0),IF(E10="FILLUP",IF(OR(LOWER(TRIM(G10))=LOWER(TRIM(IFERROR(VLOOKUP(D10,Answer_Key!$D$5:$V$87,8,FALSE),""))),ISNUMBER(SEARCH(LOWER(TRIM(G10)),LOWER(IFERROR(VLOOKUP(D10,Answer_Key!$D$5:$V$87,9,FALSE),""))))),F10,0),""))</x:f>
      </x:c>
      <x:c r="K10" s="82"/>
      <x:c r="L10" s="82" t="str">
        <x:f>IF(K10&lt;&gt;"",K10,J10)</x:f>
      </x:c>
      <x:c r="M10" s="56" t="str">
        <x:f>IF(L10=F10,"Yes",IF(L10=0,"No","Partial"))</x:f>
        <x:v>Yes</x:v>
      </x:c>
      <x:c r="N10" s="56"/>
      <x:c r="O10" s="56"/>
      <x:c r="P10" s="56"/>
    </x:row>
    <x:row r="11">
      <x:c r="A11" s="56" t="n">
        <x:f>Student_Responses!A11</x:f>
        <x:v>0</x:v>
      </x:c>
      <x:c r="B11" s="56" t="n">
        <x:f>Student_Responses!B11</x:f>
        <x:v>0</x:v>
      </x:c>
      <x:c r="C11" s="56" t="n">
        <x:f>Student_Responses!C11</x:f>
        <x:v>0</x:v>
      </x:c>
      <x:c r="D11" s="56" t="n">
        <x:f>Student_Responses!G11</x:f>
        <x:v>0</x:v>
      </x:c>
      <x:c r="E11" s="56" t="n">
        <x:f>Student_Responses!H11</x:f>
        <x:v>0</x:v>
      </x:c>
      <x:c r="F11" s="82" t="str">
        <x:f>IFERROR(VLOOKUP(D11,Answer_Key!$D$5:$V$87,10,FALSE),"")</x:f>
      </x:c>
      <x:c r="G11" s="56" t="n">
        <x:f>Student_Responses!I11</x:f>
        <x:v>0</x:v>
      </x:c>
      <x:c r="H11" s="56" t="n">
        <x:f>Student_Responses!J11</x:f>
        <x:v>0</x:v>
      </x:c>
      <x:c r="I11" s="56" t="str">
        <x:f>IFERROR(VLOOKUP(D11,Answer_Key!$D$5:$V$87,8,FALSE),"")</x:f>
      </x:c>
      <x:c r="J11" s="82" t="str">
        <x:f>IF(E11="MCQ",IF(G11=IFERROR(VLOOKUP(D11,Answer_Key!$D$5:$V$87,8,FALSE),""),F11,0),IF(E11="FILLUP",IF(OR(LOWER(TRIM(G11))=LOWER(TRIM(IFERROR(VLOOKUP(D11,Answer_Key!$D$5:$V$87,8,FALSE),""))),ISNUMBER(SEARCH(LOWER(TRIM(G11)),LOWER(IFERROR(VLOOKUP(D11,Answer_Key!$D$5:$V$87,9,FALSE),""))))),F11,0),""))</x:f>
      </x:c>
      <x:c r="K11" s="82"/>
      <x:c r="L11" s="82" t="str">
        <x:f>IF(K11&lt;&gt;"",K11,J11)</x:f>
      </x:c>
      <x:c r="M11" s="56" t="str">
        <x:f>IF(L11=F11,"Yes",IF(L11=0,"No","Partial"))</x:f>
        <x:v>Yes</x:v>
      </x:c>
      <x:c r="N11" s="56"/>
      <x:c r="O11" s="56"/>
      <x:c r="P11" s="56"/>
    </x:row>
    <x:row r="12">
      <x:c r="A12" s="56" t="n">
        <x:f>Student_Responses!A12</x:f>
        <x:v>0</x:v>
      </x:c>
      <x:c r="B12" s="56" t="n">
        <x:f>Student_Responses!B12</x:f>
        <x:v>0</x:v>
      </x:c>
      <x:c r="C12" s="56" t="n">
        <x:f>Student_Responses!C12</x:f>
        <x:v>0</x:v>
      </x:c>
      <x:c r="D12" s="56" t="n">
        <x:f>Student_Responses!G12</x:f>
        <x:v>0</x:v>
      </x:c>
      <x:c r="E12" s="56" t="n">
        <x:f>Student_Responses!H12</x:f>
        <x:v>0</x:v>
      </x:c>
      <x:c r="F12" s="82" t="str">
        <x:f>IFERROR(VLOOKUP(D12,Answer_Key!$D$5:$V$87,10,FALSE),"")</x:f>
      </x:c>
      <x:c r="G12" s="56" t="n">
        <x:f>Student_Responses!I12</x:f>
        <x:v>0</x:v>
      </x:c>
      <x:c r="H12" s="56" t="n">
        <x:f>Student_Responses!J12</x:f>
        <x:v>0</x:v>
      </x:c>
      <x:c r="I12" s="56" t="str">
        <x:f>IFERROR(VLOOKUP(D12,Answer_Key!$D$5:$V$87,8,FALSE),"")</x:f>
      </x:c>
      <x:c r="J12" s="82" t="str">
        <x:f>IF(E12="MCQ",IF(G12=IFERROR(VLOOKUP(D12,Answer_Key!$D$5:$V$87,8,FALSE),""),F12,0),IF(E12="FILLUP",IF(OR(LOWER(TRIM(G12))=LOWER(TRIM(IFERROR(VLOOKUP(D12,Answer_Key!$D$5:$V$87,8,FALSE),""))),ISNUMBER(SEARCH(LOWER(TRIM(G12)),LOWER(IFERROR(VLOOKUP(D12,Answer_Key!$D$5:$V$87,9,FALSE),""))))),F12,0),""))</x:f>
      </x:c>
      <x:c r="K12" s="82"/>
      <x:c r="L12" s="82" t="str">
        <x:f>IF(K12&lt;&gt;"",K12,J12)</x:f>
      </x:c>
      <x:c r="M12" s="56" t="str">
        <x:f>IF(L12=F12,"Yes",IF(L12=0,"No","Partial"))</x:f>
        <x:v>Yes</x:v>
      </x:c>
      <x:c r="N12" s="56"/>
      <x:c r="O12" s="56"/>
      <x:c r="P12" s="56"/>
    </x:row>
    <x:row r="13">
      <x:c r="A13" s="56" t="n">
        <x:f>Student_Responses!A13</x:f>
        <x:v>0</x:v>
      </x:c>
      <x:c r="B13" s="56" t="n">
        <x:f>Student_Responses!B13</x:f>
        <x:v>0</x:v>
      </x:c>
      <x:c r="C13" s="56" t="n">
        <x:f>Student_Responses!C13</x:f>
        <x:v>0</x:v>
      </x:c>
      <x:c r="D13" s="56" t="n">
        <x:f>Student_Responses!G13</x:f>
        <x:v>0</x:v>
      </x:c>
      <x:c r="E13" s="56" t="n">
        <x:f>Student_Responses!H13</x:f>
        <x:v>0</x:v>
      </x:c>
      <x:c r="F13" s="82" t="str">
        <x:f>IFERROR(VLOOKUP(D13,Answer_Key!$D$5:$V$87,10,FALSE),"")</x:f>
      </x:c>
      <x:c r="G13" s="56" t="n">
        <x:f>Student_Responses!I13</x:f>
        <x:v>0</x:v>
      </x:c>
      <x:c r="H13" s="56" t="n">
        <x:f>Student_Responses!J13</x:f>
        <x:v>0</x:v>
      </x:c>
      <x:c r="I13" s="56" t="str">
        <x:f>IFERROR(VLOOKUP(D13,Answer_Key!$D$5:$V$87,8,FALSE),"")</x:f>
      </x:c>
      <x:c r="J13" s="82" t="str">
        <x:f>IF(E13="MCQ",IF(G13=IFERROR(VLOOKUP(D13,Answer_Key!$D$5:$V$87,8,FALSE),""),F13,0),IF(E13="FILLUP",IF(OR(LOWER(TRIM(G13))=LOWER(TRIM(IFERROR(VLOOKUP(D13,Answer_Key!$D$5:$V$87,8,FALSE),""))),ISNUMBER(SEARCH(LOWER(TRIM(G13)),LOWER(IFERROR(VLOOKUP(D13,Answer_Key!$D$5:$V$87,9,FALSE),""))))),F13,0),""))</x:f>
      </x:c>
      <x:c r="K13" s="82"/>
      <x:c r="L13" s="82" t="str">
        <x:f>IF(K13&lt;&gt;"",K13,J13)</x:f>
      </x:c>
      <x:c r="M13" s="56" t="str">
        <x:f>IF(L13=F13,"Yes",IF(L13=0,"No","Partial"))</x:f>
        <x:v>Yes</x:v>
      </x:c>
      <x:c r="N13" s="56"/>
      <x:c r="O13" s="56"/>
      <x:c r="P13" s="56"/>
    </x:row>
    <x:row r="14">
      <x:c r="A14" s="56" t="n">
        <x:f>Student_Responses!A14</x:f>
        <x:v>0</x:v>
      </x:c>
      <x:c r="B14" s="56" t="n">
        <x:f>Student_Responses!B14</x:f>
        <x:v>0</x:v>
      </x:c>
      <x:c r="C14" s="56" t="n">
        <x:f>Student_Responses!C14</x:f>
        <x:v>0</x:v>
      </x:c>
      <x:c r="D14" s="56" t="n">
        <x:f>Student_Responses!G14</x:f>
        <x:v>0</x:v>
      </x:c>
      <x:c r="E14" s="56" t="n">
        <x:f>Student_Responses!H14</x:f>
        <x:v>0</x:v>
      </x:c>
      <x:c r="F14" s="82" t="str">
        <x:f>IFERROR(VLOOKUP(D14,Answer_Key!$D$5:$V$87,10,FALSE),"")</x:f>
      </x:c>
      <x:c r="G14" s="56" t="n">
        <x:f>Student_Responses!I14</x:f>
        <x:v>0</x:v>
      </x:c>
      <x:c r="H14" s="56" t="n">
        <x:f>Student_Responses!J14</x:f>
        <x:v>0</x:v>
      </x:c>
      <x:c r="I14" s="56" t="str">
        <x:f>IFERROR(VLOOKUP(D14,Answer_Key!$D$5:$V$87,8,FALSE),"")</x:f>
      </x:c>
      <x:c r="J14" s="82" t="str">
        <x:f>IF(E14="MCQ",IF(G14=IFERROR(VLOOKUP(D14,Answer_Key!$D$5:$V$87,8,FALSE),""),F14,0),IF(E14="FILLUP",IF(OR(LOWER(TRIM(G14))=LOWER(TRIM(IFERROR(VLOOKUP(D14,Answer_Key!$D$5:$V$87,8,FALSE),""))),ISNUMBER(SEARCH(LOWER(TRIM(G14)),LOWER(IFERROR(VLOOKUP(D14,Answer_Key!$D$5:$V$87,9,FALSE),""))))),F14,0),""))</x:f>
      </x:c>
      <x:c r="K14" s="82"/>
      <x:c r="L14" s="82" t="str">
        <x:f>IF(K14&lt;&gt;"",K14,J14)</x:f>
      </x:c>
      <x:c r="M14" s="56" t="str">
        <x:f>IF(L14=F14,"Yes",IF(L14=0,"No","Partial"))</x:f>
        <x:v>Yes</x:v>
      </x:c>
      <x:c r="N14" s="56"/>
      <x:c r="O14" s="56"/>
      <x:c r="P14" s="56"/>
    </x:row>
    <x:row r="15">
      <x:c r="A15" s="56" t="n">
        <x:f>Student_Responses!A15</x:f>
        <x:v>0</x:v>
      </x:c>
      <x:c r="B15" s="56" t="n">
        <x:f>Student_Responses!B15</x:f>
        <x:v>0</x:v>
      </x:c>
      <x:c r="C15" s="56" t="n">
        <x:f>Student_Responses!C15</x:f>
        <x:v>0</x:v>
      </x:c>
      <x:c r="D15" s="56" t="n">
        <x:f>Student_Responses!G15</x:f>
        <x:v>0</x:v>
      </x:c>
      <x:c r="E15" s="56" t="n">
        <x:f>Student_Responses!H15</x:f>
        <x:v>0</x:v>
      </x:c>
      <x:c r="F15" s="82" t="str">
        <x:f>IFERROR(VLOOKUP(D15,Answer_Key!$D$5:$V$87,10,FALSE),"")</x:f>
      </x:c>
      <x:c r="G15" s="56" t="n">
        <x:f>Student_Responses!I15</x:f>
        <x:v>0</x:v>
      </x:c>
      <x:c r="H15" s="56" t="n">
        <x:f>Student_Responses!J15</x:f>
        <x:v>0</x:v>
      </x:c>
      <x:c r="I15" s="56" t="str">
        <x:f>IFERROR(VLOOKUP(D15,Answer_Key!$D$5:$V$87,8,FALSE),"")</x:f>
      </x:c>
      <x:c r="J15" s="82" t="str">
        <x:f>IF(E15="MCQ",IF(G15=IFERROR(VLOOKUP(D15,Answer_Key!$D$5:$V$87,8,FALSE),""),F15,0),IF(E15="FILLUP",IF(OR(LOWER(TRIM(G15))=LOWER(TRIM(IFERROR(VLOOKUP(D15,Answer_Key!$D$5:$V$87,8,FALSE),""))),ISNUMBER(SEARCH(LOWER(TRIM(G15)),LOWER(IFERROR(VLOOKUP(D15,Answer_Key!$D$5:$V$87,9,FALSE),""))))),F15,0),""))</x:f>
      </x:c>
      <x:c r="K15" s="82"/>
      <x:c r="L15" s="82" t="str">
        <x:f>IF(K15&lt;&gt;"",K15,J15)</x:f>
      </x:c>
      <x:c r="M15" s="56" t="str">
        <x:f>IF(L15=F15,"Yes",IF(L15=0,"No","Partial"))</x:f>
        <x:v>Yes</x:v>
      </x:c>
      <x:c r="N15" s="56"/>
      <x:c r="O15" s="56"/>
      <x:c r="P15" s="56"/>
    </x:row>
    <x:row r="16">
      <x:c r="A16" s="56" t="n">
        <x:f>Student_Responses!A16</x:f>
        <x:v>0</x:v>
      </x:c>
      <x:c r="B16" s="56" t="n">
        <x:f>Student_Responses!B16</x:f>
        <x:v>0</x:v>
      </x:c>
      <x:c r="C16" s="56" t="n">
        <x:f>Student_Responses!C16</x:f>
        <x:v>0</x:v>
      </x:c>
      <x:c r="D16" s="56" t="n">
        <x:f>Student_Responses!G16</x:f>
        <x:v>0</x:v>
      </x:c>
      <x:c r="E16" s="56" t="n">
        <x:f>Student_Responses!H16</x:f>
        <x:v>0</x:v>
      </x:c>
      <x:c r="F16" s="82" t="str">
        <x:f>IFERROR(VLOOKUP(D16,Answer_Key!$D$5:$V$87,10,FALSE),"")</x:f>
      </x:c>
      <x:c r="G16" s="56" t="n">
        <x:f>Student_Responses!I16</x:f>
        <x:v>0</x:v>
      </x:c>
      <x:c r="H16" s="56" t="n">
        <x:f>Student_Responses!J16</x:f>
        <x:v>0</x:v>
      </x:c>
      <x:c r="I16" s="56" t="str">
        <x:f>IFERROR(VLOOKUP(D16,Answer_Key!$D$5:$V$87,8,FALSE),"")</x:f>
      </x:c>
      <x:c r="J16" s="82" t="str">
        <x:f>IF(E16="MCQ",IF(G16=IFERROR(VLOOKUP(D16,Answer_Key!$D$5:$V$87,8,FALSE),""),F16,0),IF(E16="FILLUP",IF(OR(LOWER(TRIM(G16))=LOWER(TRIM(IFERROR(VLOOKUP(D16,Answer_Key!$D$5:$V$87,8,FALSE),""))),ISNUMBER(SEARCH(LOWER(TRIM(G16)),LOWER(IFERROR(VLOOKUP(D16,Answer_Key!$D$5:$V$87,9,FALSE),""))))),F16,0),""))</x:f>
      </x:c>
      <x:c r="K16" s="82"/>
      <x:c r="L16" s="82" t="str">
        <x:f>IF(K16&lt;&gt;"",K16,J16)</x:f>
      </x:c>
      <x:c r="M16" s="56" t="str">
        <x:f>IF(L16=F16,"Yes",IF(L16=0,"No","Partial"))</x:f>
        <x:v>Yes</x:v>
      </x:c>
      <x:c r="N16" s="56"/>
      <x:c r="O16" s="56"/>
      <x:c r="P16" s="56"/>
    </x:row>
    <x:row r="17">
      <x:c r="A17" s="56" t="n">
        <x:f>Student_Responses!A17</x:f>
        <x:v>0</x:v>
      </x:c>
      <x:c r="B17" s="56" t="n">
        <x:f>Student_Responses!B17</x:f>
        <x:v>0</x:v>
      </x:c>
      <x:c r="C17" s="56" t="n">
        <x:f>Student_Responses!C17</x:f>
        <x:v>0</x:v>
      </x:c>
      <x:c r="D17" s="56" t="n">
        <x:f>Student_Responses!G17</x:f>
        <x:v>0</x:v>
      </x:c>
      <x:c r="E17" s="56" t="n">
        <x:f>Student_Responses!H17</x:f>
        <x:v>0</x:v>
      </x:c>
      <x:c r="F17" s="82" t="str">
        <x:f>IFERROR(VLOOKUP(D17,Answer_Key!$D$5:$V$87,10,FALSE),"")</x:f>
      </x:c>
      <x:c r="G17" s="56" t="n">
        <x:f>Student_Responses!I17</x:f>
        <x:v>0</x:v>
      </x:c>
      <x:c r="H17" s="56" t="n">
        <x:f>Student_Responses!J17</x:f>
        <x:v>0</x:v>
      </x:c>
      <x:c r="I17" s="56" t="str">
        <x:f>IFERROR(VLOOKUP(D17,Answer_Key!$D$5:$V$87,8,FALSE),"")</x:f>
      </x:c>
      <x:c r="J17" s="82" t="str">
        <x:f>IF(E17="MCQ",IF(G17=IFERROR(VLOOKUP(D17,Answer_Key!$D$5:$V$87,8,FALSE),""),F17,0),IF(E17="FILLUP",IF(OR(LOWER(TRIM(G17))=LOWER(TRIM(IFERROR(VLOOKUP(D17,Answer_Key!$D$5:$V$87,8,FALSE),""))),ISNUMBER(SEARCH(LOWER(TRIM(G17)),LOWER(IFERROR(VLOOKUP(D17,Answer_Key!$D$5:$V$87,9,FALSE),""))))),F17,0),""))</x:f>
      </x:c>
      <x:c r="K17" s="82"/>
      <x:c r="L17" s="82" t="str">
        <x:f>IF(K17&lt;&gt;"",K17,J17)</x:f>
      </x:c>
      <x:c r="M17" s="56" t="str">
        <x:f>IF(L17=F17,"Yes",IF(L17=0,"No","Partial"))</x:f>
        <x:v>Yes</x:v>
      </x:c>
      <x:c r="N17" s="56"/>
      <x:c r="O17" s="56"/>
      <x:c r="P17" s="56"/>
    </x:row>
    <x:row r="18">
      <x:c r="A18" s="56" t="n">
        <x:f>Student_Responses!A18</x:f>
        <x:v>0</x:v>
      </x:c>
      <x:c r="B18" s="56" t="n">
        <x:f>Student_Responses!B18</x:f>
        <x:v>0</x:v>
      </x:c>
      <x:c r="C18" s="56" t="n">
        <x:f>Student_Responses!C18</x:f>
        <x:v>0</x:v>
      </x:c>
      <x:c r="D18" s="56" t="n">
        <x:f>Student_Responses!G18</x:f>
        <x:v>0</x:v>
      </x:c>
      <x:c r="E18" s="56" t="n">
        <x:f>Student_Responses!H18</x:f>
        <x:v>0</x:v>
      </x:c>
      <x:c r="F18" s="82" t="str">
        <x:f>IFERROR(VLOOKUP(D18,Answer_Key!$D$5:$V$87,10,FALSE),"")</x:f>
      </x:c>
      <x:c r="G18" s="56" t="n">
        <x:f>Student_Responses!I18</x:f>
        <x:v>0</x:v>
      </x:c>
      <x:c r="H18" s="56" t="n">
        <x:f>Student_Responses!J18</x:f>
        <x:v>0</x:v>
      </x:c>
      <x:c r="I18" s="56" t="str">
        <x:f>IFERROR(VLOOKUP(D18,Answer_Key!$D$5:$V$87,8,FALSE),"")</x:f>
      </x:c>
      <x:c r="J18" s="82" t="str">
        <x:f>IF(E18="MCQ",IF(G18=IFERROR(VLOOKUP(D18,Answer_Key!$D$5:$V$87,8,FALSE),""),F18,0),IF(E18="FILLUP",IF(OR(LOWER(TRIM(G18))=LOWER(TRIM(IFERROR(VLOOKUP(D18,Answer_Key!$D$5:$V$87,8,FALSE),""))),ISNUMBER(SEARCH(LOWER(TRIM(G18)),LOWER(IFERROR(VLOOKUP(D18,Answer_Key!$D$5:$V$87,9,FALSE),""))))),F18,0),""))</x:f>
      </x:c>
      <x:c r="K18" s="82"/>
      <x:c r="L18" s="82" t="str">
        <x:f>IF(K18&lt;&gt;"",K18,J18)</x:f>
      </x:c>
      <x:c r="M18" s="56" t="str">
        <x:f>IF(L18=F18,"Yes",IF(L18=0,"No","Partial"))</x:f>
        <x:v>Yes</x:v>
      </x:c>
      <x:c r="N18" s="56"/>
      <x:c r="O18" s="56"/>
      <x:c r="P18" s="56"/>
    </x:row>
    <x:row r="19">
      <x:c r="A19" s="56" t="n">
        <x:f>Student_Responses!A19</x:f>
        <x:v>0</x:v>
      </x:c>
      <x:c r="B19" s="56" t="n">
        <x:f>Student_Responses!B19</x:f>
        <x:v>0</x:v>
      </x:c>
      <x:c r="C19" s="56" t="n">
        <x:f>Student_Responses!C19</x:f>
        <x:v>0</x:v>
      </x:c>
      <x:c r="D19" s="56" t="n">
        <x:f>Student_Responses!G19</x:f>
        <x:v>0</x:v>
      </x:c>
      <x:c r="E19" s="56" t="n">
        <x:f>Student_Responses!H19</x:f>
        <x:v>0</x:v>
      </x:c>
      <x:c r="F19" s="82" t="str">
        <x:f>IFERROR(VLOOKUP(D19,Answer_Key!$D$5:$V$87,10,FALSE),"")</x:f>
      </x:c>
      <x:c r="G19" s="56" t="n">
        <x:f>Student_Responses!I19</x:f>
        <x:v>0</x:v>
      </x:c>
      <x:c r="H19" s="56" t="n">
        <x:f>Student_Responses!J19</x:f>
        <x:v>0</x:v>
      </x:c>
      <x:c r="I19" s="56" t="str">
        <x:f>IFERROR(VLOOKUP(D19,Answer_Key!$D$5:$V$87,8,FALSE),"")</x:f>
      </x:c>
      <x:c r="J19" s="82" t="str">
        <x:f>IF(E19="MCQ",IF(G19=IFERROR(VLOOKUP(D19,Answer_Key!$D$5:$V$87,8,FALSE),""),F19,0),IF(E19="FILLUP",IF(OR(LOWER(TRIM(G19))=LOWER(TRIM(IFERROR(VLOOKUP(D19,Answer_Key!$D$5:$V$87,8,FALSE),""))),ISNUMBER(SEARCH(LOWER(TRIM(G19)),LOWER(IFERROR(VLOOKUP(D19,Answer_Key!$D$5:$V$87,9,FALSE),""))))),F19,0),""))</x:f>
      </x:c>
      <x:c r="K19" s="82"/>
      <x:c r="L19" s="82" t="str">
        <x:f>IF(K19&lt;&gt;"",K19,J19)</x:f>
      </x:c>
      <x:c r="M19" s="56" t="str">
        <x:f>IF(L19=F19,"Yes",IF(L19=0,"No","Partial"))</x:f>
        <x:v>Yes</x:v>
      </x:c>
      <x:c r="N19" s="56"/>
      <x:c r="O19" s="56"/>
      <x:c r="P19" s="56"/>
    </x:row>
    <x:row r="20">
      <x:c r="A20" s="56" t="n">
        <x:f>Student_Responses!A20</x:f>
        <x:v>0</x:v>
      </x:c>
      <x:c r="B20" s="56" t="n">
        <x:f>Student_Responses!B20</x:f>
        <x:v>0</x:v>
      </x:c>
      <x:c r="C20" s="56" t="n">
        <x:f>Student_Responses!C20</x:f>
        <x:v>0</x:v>
      </x:c>
      <x:c r="D20" s="56" t="n">
        <x:f>Student_Responses!G20</x:f>
        <x:v>0</x:v>
      </x:c>
      <x:c r="E20" s="56" t="n">
        <x:f>Student_Responses!H20</x:f>
        <x:v>0</x:v>
      </x:c>
      <x:c r="F20" s="82" t="str">
        <x:f>IFERROR(VLOOKUP(D20,Answer_Key!$D$5:$V$87,10,FALSE),"")</x:f>
      </x:c>
      <x:c r="G20" s="56" t="n">
        <x:f>Student_Responses!I20</x:f>
        <x:v>0</x:v>
      </x:c>
      <x:c r="H20" s="56" t="n">
        <x:f>Student_Responses!J20</x:f>
        <x:v>0</x:v>
      </x:c>
      <x:c r="I20" s="56" t="str">
        <x:f>IFERROR(VLOOKUP(D20,Answer_Key!$D$5:$V$87,8,FALSE),"")</x:f>
      </x:c>
      <x:c r="J20" s="82" t="str">
        <x:f>IF(E20="MCQ",IF(G20=IFERROR(VLOOKUP(D20,Answer_Key!$D$5:$V$87,8,FALSE),""),F20,0),IF(E20="FILLUP",IF(OR(LOWER(TRIM(G20))=LOWER(TRIM(IFERROR(VLOOKUP(D20,Answer_Key!$D$5:$V$87,8,FALSE),""))),ISNUMBER(SEARCH(LOWER(TRIM(G20)),LOWER(IFERROR(VLOOKUP(D20,Answer_Key!$D$5:$V$87,9,FALSE),""))))),F20,0),""))</x:f>
      </x:c>
      <x:c r="K20" s="82"/>
      <x:c r="L20" s="82" t="str">
        <x:f>IF(K20&lt;&gt;"",K20,J20)</x:f>
      </x:c>
      <x:c r="M20" s="56" t="str">
        <x:f>IF(L20=F20,"Yes",IF(L20=0,"No","Partial"))</x:f>
        <x:v>Yes</x:v>
      </x:c>
      <x:c r="N20" s="56"/>
      <x:c r="O20" s="56"/>
      <x:c r="P20" s="56"/>
    </x:row>
    <x:row r="21">
      <x:c r="A21" s="56" t="n">
        <x:f>Student_Responses!A21</x:f>
        <x:v>0</x:v>
      </x:c>
      <x:c r="B21" s="56" t="n">
        <x:f>Student_Responses!B21</x:f>
        <x:v>0</x:v>
      </x:c>
      <x:c r="C21" s="56" t="n">
        <x:f>Student_Responses!C21</x:f>
        <x:v>0</x:v>
      </x:c>
      <x:c r="D21" s="56" t="n">
        <x:f>Student_Responses!G21</x:f>
        <x:v>0</x:v>
      </x:c>
      <x:c r="E21" s="56" t="n">
        <x:f>Student_Responses!H21</x:f>
        <x:v>0</x:v>
      </x:c>
      <x:c r="F21" s="82" t="str">
        <x:f>IFERROR(VLOOKUP(D21,Answer_Key!$D$5:$V$87,10,FALSE),"")</x:f>
      </x:c>
      <x:c r="G21" s="56" t="n">
        <x:f>Student_Responses!I21</x:f>
        <x:v>0</x:v>
      </x:c>
      <x:c r="H21" s="56" t="n">
        <x:f>Student_Responses!J21</x:f>
        <x:v>0</x:v>
      </x:c>
      <x:c r="I21" s="56" t="str">
        <x:f>IFERROR(VLOOKUP(D21,Answer_Key!$D$5:$V$87,8,FALSE),"")</x:f>
      </x:c>
      <x:c r="J21" s="82" t="str">
        <x:f>IF(E21="MCQ",IF(G21=IFERROR(VLOOKUP(D21,Answer_Key!$D$5:$V$87,8,FALSE),""),F21,0),IF(E21="FILLUP",IF(OR(LOWER(TRIM(G21))=LOWER(TRIM(IFERROR(VLOOKUP(D21,Answer_Key!$D$5:$V$87,8,FALSE),""))),ISNUMBER(SEARCH(LOWER(TRIM(G21)),LOWER(IFERROR(VLOOKUP(D21,Answer_Key!$D$5:$V$87,9,FALSE),""))))),F21,0),""))</x:f>
      </x:c>
      <x:c r="K21" s="82"/>
      <x:c r="L21" s="82" t="str">
        <x:f>IF(K21&lt;&gt;"",K21,J21)</x:f>
      </x:c>
      <x:c r="M21" s="56" t="str">
        <x:f>IF(L21=F21,"Yes",IF(L21=0,"No","Partial"))</x:f>
        <x:v>Yes</x:v>
      </x:c>
      <x:c r="N21" s="56"/>
      <x:c r="O21" s="56"/>
      <x:c r="P21" s="56"/>
    </x:row>
    <x:row r="22">
      <x:c r="A22" s="56" t="n">
        <x:f>Student_Responses!A22</x:f>
        <x:v>0</x:v>
      </x:c>
      <x:c r="B22" s="56" t="n">
        <x:f>Student_Responses!B22</x:f>
        <x:v>0</x:v>
      </x:c>
      <x:c r="C22" s="56" t="n">
        <x:f>Student_Responses!C22</x:f>
        <x:v>0</x:v>
      </x:c>
      <x:c r="D22" s="56" t="n">
        <x:f>Student_Responses!G22</x:f>
        <x:v>0</x:v>
      </x:c>
      <x:c r="E22" s="56" t="n">
        <x:f>Student_Responses!H22</x:f>
        <x:v>0</x:v>
      </x:c>
      <x:c r="F22" s="82" t="str">
        <x:f>IFERROR(VLOOKUP(D22,Answer_Key!$D$5:$V$87,10,FALSE),"")</x:f>
      </x:c>
      <x:c r="G22" s="56" t="n">
        <x:f>Student_Responses!I22</x:f>
        <x:v>0</x:v>
      </x:c>
      <x:c r="H22" s="56" t="n">
        <x:f>Student_Responses!J22</x:f>
        <x:v>0</x:v>
      </x:c>
      <x:c r="I22" s="56" t="str">
        <x:f>IFERROR(VLOOKUP(D22,Answer_Key!$D$5:$V$87,8,FALSE),"")</x:f>
      </x:c>
      <x:c r="J22" s="82" t="str">
        <x:f>IF(E22="MCQ",IF(G22=IFERROR(VLOOKUP(D22,Answer_Key!$D$5:$V$87,8,FALSE),""),F22,0),IF(E22="FILLUP",IF(OR(LOWER(TRIM(G22))=LOWER(TRIM(IFERROR(VLOOKUP(D22,Answer_Key!$D$5:$V$87,8,FALSE),""))),ISNUMBER(SEARCH(LOWER(TRIM(G22)),LOWER(IFERROR(VLOOKUP(D22,Answer_Key!$D$5:$V$87,9,FALSE),""))))),F22,0),""))</x:f>
      </x:c>
      <x:c r="K22" s="82"/>
      <x:c r="L22" s="82" t="str">
        <x:f>IF(K22&lt;&gt;"",K22,J22)</x:f>
      </x:c>
      <x:c r="M22" s="56" t="str">
        <x:f>IF(L22=F22,"Yes",IF(L22=0,"No","Partial"))</x:f>
        <x:v>Yes</x:v>
      </x:c>
      <x:c r="N22" s="56"/>
      <x:c r="O22" s="56"/>
      <x:c r="P22" s="56"/>
    </x:row>
    <x:row r="23">
      <x:c r="A23" s="56" t="n">
        <x:f>Student_Responses!A23</x:f>
        <x:v>0</x:v>
      </x:c>
      <x:c r="B23" s="56" t="n">
        <x:f>Student_Responses!B23</x:f>
        <x:v>0</x:v>
      </x:c>
      <x:c r="C23" s="56" t="n">
        <x:f>Student_Responses!C23</x:f>
        <x:v>0</x:v>
      </x:c>
      <x:c r="D23" s="56" t="n">
        <x:f>Student_Responses!G23</x:f>
        <x:v>0</x:v>
      </x:c>
      <x:c r="E23" s="56" t="n">
        <x:f>Student_Responses!H23</x:f>
        <x:v>0</x:v>
      </x:c>
      <x:c r="F23" s="82" t="str">
        <x:f>IFERROR(VLOOKUP(D23,Answer_Key!$D$5:$V$87,10,FALSE),"")</x:f>
      </x:c>
      <x:c r="G23" s="56" t="n">
        <x:f>Student_Responses!I23</x:f>
        <x:v>0</x:v>
      </x:c>
      <x:c r="H23" s="56" t="n">
        <x:f>Student_Responses!J23</x:f>
        <x:v>0</x:v>
      </x:c>
      <x:c r="I23" s="56" t="str">
        <x:f>IFERROR(VLOOKUP(D23,Answer_Key!$D$5:$V$87,8,FALSE),"")</x:f>
      </x:c>
      <x:c r="J23" s="82" t="str">
        <x:f>IF(E23="MCQ",IF(G23=IFERROR(VLOOKUP(D23,Answer_Key!$D$5:$V$87,8,FALSE),""),F23,0),IF(E23="FILLUP",IF(OR(LOWER(TRIM(G23))=LOWER(TRIM(IFERROR(VLOOKUP(D23,Answer_Key!$D$5:$V$87,8,FALSE),""))),ISNUMBER(SEARCH(LOWER(TRIM(G23)),LOWER(IFERROR(VLOOKUP(D23,Answer_Key!$D$5:$V$87,9,FALSE),""))))),F23,0),""))</x:f>
      </x:c>
      <x:c r="K23" s="82"/>
      <x:c r="L23" s="82" t="str">
        <x:f>IF(K23&lt;&gt;"",K23,J23)</x:f>
      </x:c>
      <x:c r="M23" s="56" t="str">
        <x:f>IF(L23=F23,"Yes",IF(L23=0,"No","Partial"))</x:f>
        <x:v>Yes</x:v>
      </x:c>
      <x:c r="N23" s="56"/>
      <x:c r="O23" s="56"/>
      <x:c r="P23" s="56"/>
    </x:row>
    <x:row r="24">
      <x:c r="A24" s="56" t="n">
        <x:f>Student_Responses!A24</x:f>
        <x:v>0</x:v>
      </x:c>
      <x:c r="B24" s="56" t="n">
        <x:f>Student_Responses!B24</x:f>
        <x:v>0</x:v>
      </x:c>
      <x:c r="C24" s="56" t="n">
        <x:f>Student_Responses!C24</x:f>
        <x:v>0</x:v>
      </x:c>
      <x:c r="D24" s="56" t="n">
        <x:f>Student_Responses!G24</x:f>
        <x:v>0</x:v>
      </x:c>
      <x:c r="E24" s="56" t="n">
        <x:f>Student_Responses!H24</x:f>
        <x:v>0</x:v>
      </x:c>
      <x:c r="F24" s="82" t="str">
        <x:f>IFERROR(VLOOKUP(D24,Answer_Key!$D$5:$V$87,10,FALSE),"")</x:f>
      </x:c>
      <x:c r="G24" s="56" t="n">
        <x:f>Student_Responses!I24</x:f>
        <x:v>0</x:v>
      </x:c>
      <x:c r="H24" s="56" t="n">
        <x:f>Student_Responses!J24</x:f>
        <x:v>0</x:v>
      </x:c>
      <x:c r="I24" s="56" t="str">
        <x:f>IFERROR(VLOOKUP(D24,Answer_Key!$D$5:$V$87,8,FALSE),"")</x:f>
      </x:c>
      <x:c r="J24" s="82" t="str">
        <x:f>IF(E24="MCQ",IF(G24=IFERROR(VLOOKUP(D24,Answer_Key!$D$5:$V$87,8,FALSE),""),F24,0),IF(E24="FILLUP",IF(OR(LOWER(TRIM(G24))=LOWER(TRIM(IFERROR(VLOOKUP(D24,Answer_Key!$D$5:$V$87,8,FALSE),""))),ISNUMBER(SEARCH(LOWER(TRIM(G24)),LOWER(IFERROR(VLOOKUP(D24,Answer_Key!$D$5:$V$87,9,FALSE),""))))),F24,0),""))</x:f>
      </x:c>
      <x:c r="K24" s="82"/>
      <x:c r="L24" s="82" t="str">
        <x:f>IF(K24&lt;&gt;"",K24,J24)</x:f>
      </x:c>
      <x:c r="M24" s="56" t="str">
        <x:f>IF(L24=F24,"Yes",IF(L24=0,"No","Partial"))</x:f>
        <x:v>Yes</x:v>
      </x:c>
      <x:c r="N24" s="56"/>
      <x:c r="O24" s="56"/>
      <x:c r="P24" s="56"/>
    </x:row>
    <x:row r="25">
      <x:c r="A25" s="56" t="n">
        <x:f>Student_Responses!A25</x:f>
        <x:v>0</x:v>
      </x:c>
      <x:c r="B25" s="56" t="n">
        <x:f>Student_Responses!B25</x:f>
        <x:v>0</x:v>
      </x:c>
      <x:c r="C25" s="56" t="n">
        <x:f>Student_Responses!C25</x:f>
        <x:v>0</x:v>
      </x:c>
      <x:c r="D25" s="56" t="n">
        <x:f>Student_Responses!G25</x:f>
        <x:v>0</x:v>
      </x:c>
      <x:c r="E25" s="56" t="n">
        <x:f>Student_Responses!H25</x:f>
        <x:v>0</x:v>
      </x:c>
      <x:c r="F25" s="82" t="str">
        <x:f>IFERROR(VLOOKUP(D25,Answer_Key!$D$5:$V$87,10,FALSE),"")</x:f>
      </x:c>
      <x:c r="G25" s="56" t="n">
        <x:f>Student_Responses!I25</x:f>
        <x:v>0</x:v>
      </x:c>
      <x:c r="H25" s="56" t="n">
        <x:f>Student_Responses!J25</x:f>
        <x:v>0</x:v>
      </x:c>
      <x:c r="I25" s="56" t="str">
        <x:f>IFERROR(VLOOKUP(D25,Answer_Key!$D$5:$V$87,8,FALSE),"")</x:f>
      </x:c>
      <x:c r="J25" s="82" t="str">
        <x:f>IF(E25="MCQ",IF(G25=IFERROR(VLOOKUP(D25,Answer_Key!$D$5:$V$87,8,FALSE),""),F25,0),IF(E25="FILLUP",IF(OR(LOWER(TRIM(G25))=LOWER(TRIM(IFERROR(VLOOKUP(D25,Answer_Key!$D$5:$V$87,8,FALSE),""))),ISNUMBER(SEARCH(LOWER(TRIM(G25)),LOWER(IFERROR(VLOOKUP(D25,Answer_Key!$D$5:$V$87,9,FALSE),""))))),F25,0),""))</x:f>
      </x:c>
      <x:c r="K25" s="82"/>
      <x:c r="L25" s="82" t="str">
        <x:f>IF(K25&lt;&gt;"",K25,J25)</x:f>
      </x:c>
      <x:c r="M25" s="56" t="str">
        <x:f>IF(L25=F25,"Yes",IF(L25=0,"No","Partial"))</x:f>
        <x:v>Yes</x:v>
      </x:c>
      <x:c r="N25" s="56"/>
      <x:c r="O25" s="56"/>
      <x:c r="P25" s="56"/>
    </x:row>
    <x:row r="26">
      <x:c r="A26" s="56" t="n">
        <x:f>Student_Responses!A26</x:f>
        <x:v>0</x:v>
      </x:c>
      <x:c r="B26" s="56" t="n">
        <x:f>Student_Responses!B26</x:f>
        <x:v>0</x:v>
      </x:c>
      <x:c r="C26" s="56" t="n">
        <x:f>Student_Responses!C26</x:f>
        <x:v>0</x:v>
      </x:c>
      <x:c r="D26" s="56" t="n">
        <x:f>Student_Responses!G26</x:f>
        <x:v>0</x:v>
      </x:c>
      <x:c r="E26" s="56" t="n">
        <x:f>Student_Responses!H26</x:f>
        <x:v>0</x:v>
      </x:c>
      <x:c r="F26" s="82" t="str">
        <x:f>IFERROR(VLOOKUP(D26,Answer_Key!$D$5:$V$87,10,FALSE),"")</x:f>
      </x:c>
      <x:c r="G26" s="56" t="n">
        <x:f>Student_Responses!I26</x:f>
        <x:v>0</x:v>
      </x:c>
      <x:c r="H26" s="56" t="n">
        <x:f>Student_Responses!J26</x:f>
        <x:v>0</x:v>
      </x:c>
      <x:c r="I26" s="56" t="str">
        <x:f>IFERROR(VLOOKUP(D26,Answer_Key!$D$5:$V$87,8,FALSE),"")</x:f>
      </x:c>
      <x:c r="J26" s="82" t="str">
        <x:f>IF(E26="MCQ",IF(G26=IFERROR(VLOOKUP(D26,Answer_Key!$D$5:$V$87,8,FALSE),""),F26,0),IF(E26="FILLUP",IF(OR(LOWER(TRIM(G26))=LOWER(TRIM(IFERROR(VLOOKUP(D26,Answer_Key!$D$5:$V$87,8,FALSE),""))),ISNUMBER(SEARCH(LOWER(TRIM(G26)),LOWER(IFERROR(VLOOKUP(D26,Answer_Key!$D$5:$V$87,9,FALSE),""))))),F26,0),""))</x:f>
      </x:c>
      <x:c r="K26" s="82"/>
      <x:c r="L26" s="82" t="str">
        <x:f>IF(K26&lt;&gt;"",K26,J26)</x:f>
      </x:c>
      <x:c r="M26" s="56" t="str">
        <x:f>IF(L26=F26,"Yes",IF(L26=0,"No","Partial"))</x:f>
        <x:v>Yes</x:v>
      </x:c>
      <x:c r="N26" s="56"/>
      <x:c r="O26" s="56"/>
      <x:c r="P26" s="56"/>
    </x:row>
    <x:row r="27">
      <x:c r="A27" s="56" t="n">
        <x:f>Student_Responses!A27</x:f>
        <x:v>0</x:v>
      </x:c>
      <x:c r="B27" s="56" t="n">
        <x:f>Student_Responses!B27</x:f>
        <x:v>0</x:v>
      </x:c>
      <x:c r="C27" s="56" t="n">
        <x:f>Student_Responses!C27</x:f>
        <x:v>0</x:v>
      </x:c>
      <x:c r="D27" s="56" t="n">
        <x:f>Student_Responses!G27</x:f>
        <x:v>0</x:v>
      </x:c>
      <x:c r="E27" s="56" t="n">
        <x:f>Student_Responses!H27</x:f>
        <x:v>0</x:v>
      </x:c>
      <x:c r="F27" s="82" t="str">
        <x:f>IFERROR(VLOOKUP(D27,Answer_Key!$D$5:$V$87,10,FALSE),"")</x:f>
      </x:c>
      <x:c r="G27" s="56" t="n">
        <x:f>Student_Responses!I27</x:f>
        <x:v>0</x:v>
      </x:c>
      <x:c r="H27" s="56" t="n">
        <x:f>Student_Responses!J27</x:f>
        <x:v>0</x:v>
      </x:c>
      <x:c r="I27" s="56" t="str">
        <x:f>IFERROR(VLOOKUP(D27,Answer_Key!$D$5:$V$87,8,FALSE),"")</x:f>
      </x:c>
      <x:c r="J27" s="82" t="str">
        <x:f>IF(E27="MCQ",IF(G27=IFERROR(VLOOKUP(D27,Answer_Key!$D$5:$V$87,8,FALSE),""),F27,0),IF(E27="FILLUP",IF(OR(LOWER(TRIM(G27))=LOWER(TRIM(IFERROR(VLOOKUP(D27,Answer_Key!$D$5:$V$87,8,FALSE),""))),ISNUMBER(SEARCH(LOWER(TRIM(G27)),LOWER(IFERROR(VLOOKUP(D27,Answer_Key!$D$5:$V$87,9,FALSE),""))))),F27,0),""))</x:f>
      </x:c>
      <x:c r="K27" s="82"/>
      <x:c r="L27" s="82" t="str">
        <x:f>IF(K27&lt;&gt;"",K27,J27)</x:f>
      </x:c>
      <x:c r="M27" s="56" t="str">
        <x:f>IF(L27=F27,"Yes",IF(L27=0,"No","Partial"))</x:f>
        <x:v>Yes</x:v>
      </x:c>
      <x:c r="N27" s="56"/>
      <x:c r="O27" s="56"/>
      <x:c r="P27" s="56"/>
    </x:row>
    <x:row r="28">
      <x:c r="A28" s="56" t="n">
        <x:f>Student_Responses!A28</x:f>
        <x:v>0</x:v>
      </x:c>
      <x:c r="B28" s="56" t="n">
        <x:f>Student_Responses!B28</x:f>
        <x:v>0</x:v>
      </x:c>
      <x:c r="C28" s="56" t="n">
        <x:f>Student_Responses!C28</x:f>
        <x:v>0</x:v>
      </x:c>
      <x:c r="D28" s="56" t="n">
        <x:f>Student_Responses!G28</x:f>
        <x:v>0</x:v>
      </x:c>
      <x:c r="E28" s="56" t="n">
        <x:f>Student_Responses!H28</x:f>
        <x:v>0</x:v>
      </x:c>
      <x:c r="F28" s="82" t="str">
        <x:f>IFERROR(VLOOKUP(D28,Answer_Key!$D$5:$V$87,10,FALSE),"")</x:f>
      </x:c>
      <x:c r="G28" s="56" t="n">
        <x:f>Student_Responses!I28</x:f>
        <x:v>0</x:v>
      </x:c>
      <x:c r="H28" s="56" t="n">
        <x:f>Student_Responses!J28</x:f>
        <x:v>0</x:v>
      </x:c>
      <x:c r="I28" s="56" t="str">
        <x:f>IFERROR(VLOOKUP(D28,Answer_Key!$D$5:$V$87,8,FALSE),"")</x:f>
      </x:c>
      <x:c r="J28" s="82" t="str">
        <x:f>IF(E28="MCQ",IF(G28=IFERROR(VLOOKUP(D28,Answer_Key!$D$5:$V$87,8,FALSE),""),F28,0),IF(E28="FILLUP",IF(OR(LOWER(TRIM(G28))=LOWER(TRIM(IFERROR(VLOOKUP(D28,Answer_Key!$D$5:$V$87,8,FALSE),""))),ISNUMBER(SEARCH(LOWER(TRIM(G28)),LOWER(IFERROR(VLOOKUP(D28,Answer_Key!$D$5:$V$87,9,FALSE),""))))),F28,0),""))</x:f>
      </x:c>
      <x:c r="K28" s="82"/>
      <x:c r="L28" s="82" t="str">
        <x:f>IF(K28&lt;&gt;"",K28,J28)</x:f>
      </x:c>
      <x:c r="M28" s="56" t="str">
        <x:f>IF(L28=F28,"Yes",IF(L28=0,"No","Partial"))</x:f>
        <x:v>Yes</x:v>
      </x:c>
      <x:c r="N28" s="56"/>
      <x:c r="O28" s="56"/>
      <x:c r="P28" s="56"/>
    </x:row>
    <x:row r="29">
      <x:c r="A29" s="56" t="n">
        <x:f>Student_Responses!A29</x:f>
        <x:v>0</x:v>
      </x:c>
      <x:c r="B29" s="56" t="n">
        <x:f>Student_Responses!B29</x:f>
        <x:v>0</x:v>
      </x:c>
      <x:c r="C29" s="56" t="n">
        <x:f>Student_Responses!C29</x:f>
        <x:v>0</x:v>
      </x:c>
      <x:c r="D29" s="56" t="n">
        <x:f>Student_Responses!G29</x:f>
        <x:v>0</x:v>
      </x:c>
      <x:c r="E29" s="56" t="n">
        <x:f>Student_Responses!H29</x:f>
        <x:v>0</x:v>
      </x:c>
      <x:c r="F29" s="82" t="str">
        <x:f>IFERROR(VLOOKUP(D29,Answer_Key!$D$5:$V$87,10,FALSE),"")</x:f>
      </x:c>
      <x:c r="G29" s="56" t="n">
        <x:f>Student_Responses!I29</x:f>
        <x:v>0</x:v>
      </x:c>
      <x:c r="H29" s="56" t="n">
        <x:f>Student_Responses!J29</x:f>
        <x:v>0</x:v>
      </x:c>
      <x:c r="I29" s="56" t="str">
        <x:f>IFERROR(VLOOKUP(D29,Answer_Key!$D$5:$V$87,8,FALSE),"")</x:f>
      </x:c>
      <x:c r="J29" s="82" t="str">
        <x:f>IF(E29="MCQ",IF(G29=IFERROR(VLOOKUP(D29,Answer_Key!$D$5:$V$87,8,FALSE),""),F29,0),IF(E29="FILLUP",IF(OR(LOWER(TRIM(G29))=LOWER(TRIM(IFERROR(VLOOKUP(D29,Answer_Key!$D$5:$V$87,8,FALSE),""))),ISNUMBER(SEARCH(LOWER(TRIM(G29)),LOWER(IFERROR(VLOOKUP(D29,Answer_Key!$D$5:$V$87,9,FALSE),""))))),F29,0),""))</x:f>
      </x:c>
      <x:c r="K29" s="82"/>
      <x:c r="L29" s="82" t="str">
        <x:f>IF(K29&lt;&gt;"",K29,J29)</x:f>
      </x:c>
      <x:c r="M29" s="56" t="str">
        <x:f>IF(L29=F29,"Yes",IF(L29=0,"No","Partial"))</x:f>
        <x:v>Yes</x:v>
      </x:c>
      <x:c r="N29" s="56"/>
      <x:c r="O29" s="56"/>
      <x:c r="P29" s="56"/>
    </x:row>
    <x:row r="30">
      <x:c r="A30" s="56" t="n">
        <x:f>Student_Responses!A30</x:f>
        <x:v>0</x:v>
      </x:c>
      <x:c r="B30" s="56" t="n">
        <x:f>Student_Responses!B30</x:f>
        <x:v>0</x:v>
      </x:c>
      <x:c r="C30" s="56" t="n">
        <x:f>Student_Responses!C30</x:f>
        <x:v>0</x:v>
      </x:c>
      <x:c r="D30" s="56" t="n">
        <x:f>Student_Responses!G30</x:f>
        <x:v>0</x:v>
      </x:c>
      <x:c r="E30" s="56" t="n">
        <x:f>Student_Responses!H30</x:f>
        <x:v>0</x:v>
      </x:c>
      <x:c r="F30" s="82" t="str">
        <x:f>IFERROR(VLOOKUP(D30,Answer_Key!$D$5:$V$87,10,FALSE),"")</x:f>
      </x:c>
      <x:c r="G30" s="56" t="n">
        <x:f>Student_Responses!I30</x:f>
        <x:v>0</x:v>
      </x:c>
      <x:c r="H30" s="56" t="n">
        <x:f>Student_Responses!J30</x:f>
        <x:v>0</x:v>
      </x:c>
      <x:c r="I30" s="56" t="str">
        <x:f>IFERROR(VLOOKUP(D30,Answer_Key!$D$5:$V$87,8,FALSE),"")</x:f>
      </x:c>
      <x:c r="J30" s="82" t="str">
        <x:f>IF(E30="MCQ",IF(G30=IFERROR(VLOOKUP(D30,Answer_Key!$D$5:$V$87,8,FALSE),""),F30,0),IF(E30="FILLUP",IF(OR(LOWER(TRIM(G30))=LOWER(TRIM(IFERROR(VLOOKUP(D30,Answer_Key!$D$5:$V$87,8,FALSE),""))),ISNUMBER(SEARCH(LOWER(TRIM(G30)),LOWER(IFERROR(VLOOKUP(D30,Answer_Key!$D$5:$V$87,9,FALSE),""))))),F30,0),""))</x:f>
      </x:c>
      <x:c r="K30" s="82"/>
      <x:c r="L30" s="82" t="str">
        <x:f>IF(K30&lt;&gt;"",K30,J30)</x:f>
      </x:c>
      <x:c r="M30" s="56" t="str">
        <x:f>IF(L30=F30,"Yes",IF(L30=0,"No","Partial"))</x:f>
        <x:v>Yes</x:v>
      </x:c>
      <x:c r="N30" s="56"/>
      <x:c r="O30" s="56"/>
      <x:c r="P30" s="56"/>
    </x:row>
    <x:row r="31">
      <x:c r="A31" s="56" t="n">
        <x:f>Student_Responses!A31</x:f>
        <x:v>0</x:v>
      </x:c>
      <x:c r="B31" s="56" t="n">
        <x:f>Student_Responses!B31</x:f>
        <x:v>0</x:v>
      </x:c>
      <x:c r="C31" s="56" t="n">
        <x:f>Student_Responses!C31</x:f>
        <x:v>0</x:v>
      </x:c>
      <x:c r="D31" s="56" t="n">
        <x:f>Student_Responses!G31</x:f>
        <x:v>0</x:v>
      </x:c>
      <x:c r="E31" s="56" t="n">
        <x:f>Student_Responses!H31</x:f>
        <x:v>0</x:v>
      </x:c>
      <x:c r="F31" s="82" t="str">
        <x:f>IFERROR(VLOOKUP(D31,Answer_Key!$D$5:$V$87,10,FALSE),"")</x:f>
      </x:c>
      <x:c r="G31" s="56" t="n">
        <x:f>Student_Responses!I31</x:f>
        <x:v>0</x:v>
      </x:c>
      <x:c r="H31" s="56" t="n">
        <x:f>Student_Responses!J31</x:f>
        <x:v>0</x:v>
      </x:c>
      <x:c r="I31" s="56" t="str">
        <x:f>IFERROR(VLOOKUP(D31,Answer_Key!$D$5:$V$87,8,FALSE),"")</x:f>
      </x:c>
      <x:c r="J31" s="82" t="str">
        <x:f>IF(E31="MCQ",IF(G31=IFERROR(VLOOKUP(D31,Answer_Key!$D$5:$V$87,8,FALSE),""),F31,0),IF(E31="FILLUP",IF(OR(LOWER(TRIM(G31))=LOWER(TRIM(IFERROR(VLOOKUP(D31,Answer_Key!$D$5:$V$87,8,FALSE),""))),ISNUMBER(SEARCH(LOWER(TRIM(G31)),LOWER(IFERROR(VLOOKUP(D31,Answer_Key!$D$5:$V$87,9,FALSE),""))))),F31,0),""))</x:f>
      </x:c>
      <x:c r="K31" s="82"/>
      <x:c r="L31" s="82" t="str">
        <x:f>IF(K31&lt;&gt;"",K31,J31)</x:f>
      </x:c>
      <x:c r="M31" s="56" t="str">
        <x:f>IF(L31=F31,"Yes",IF(L31=0,"No","Partial"))</x:f>
        <x:v>Yes</x:v>
      </x:c>
      <x:c r="N31" s="56"/>
      <x:c r="O31" s="56"/>
      <x:c r="P31" s="56"/>
    </x:row>
    <x:row r="32">
      <x:c r="A32" s="56" t="n">
        <x:f>Student_Responses!A32</x:f>
        <x:v>0</x:v>
      </x:c>
      <x:c r="B32" s="56" t="n">
        <x:f>Student_Responses!B32</x:f>
        <x:v>0</x:v>
      </x:c>
      <x:c r="C32" s="56" t="n">
        <x:f>Student_Responses!C32</x:f>
        <x:v>0</x:v>
      </x:c>
      <x:c r="D32" s="56" t="n">
        <x:f>Student_Responses!G32</x:f>
        <x:v>0</x:v>
      </x:c>
      <x:c r="E32" s="56" t="n">
        <x:f>Student_Responses!H32</x:f>
        <x:v>0</x:v>
      </x:c>
      <x:c r="F32" s="82" t="str">
        <x:f>IFERROR(VLOOKUP(D32,Answer_Key!$D$5:$V$87,10,FALSE),"")</x:f>
      </x:c>
      <x:c r="G32" s="56" t="n">
        <x:f>Student_Responses!I32</x:f>
        <x:v>0</x:v>
      </x:c>
      <x:c r="H32" s="56" t="n">
        <x:f>Student_Responses!J32</x:f>
        <x:v>0</x:v>
      </x:c>
      <x:c r="I32" s="56" t="str">
        <x:f>IFERROR(VLOOKUP(D32,Answer_Key!$D$5:$V$87,8,FALSE),"")</x:f>
      </x:c>
      <x:c r="J32" s="82" t="str">
        <x:f>IF(E32="MCQ",IF(G32=IFERROR(VLOOKUP(D32,Answer_Key!$D$5:$V$87,8,FALSE),""),F32,0),IF(E32="FILLUP",IF(OR(LOWER(TRIM(G32))=LOWER(TRIM(IFERROR(VLOOKUP(D32,Answer_Key!$D$5:$V$87,8,FALSE),""))),ISNUMBER(SEARCH(LOWER(TRIM(G32)),LOWER(IFERROR(VLOOKUP(D32,Answer_Key!$D$5:$V$87,9,FALSE),""))))),F32,0),""))</x:f>
      </x:c>
      <x:c r="K32" s="82"/>
      <x:c r="L32" s="82" t="str">
        <x:f>IF(K32&lt;&gt;"",K32,J32)</x:f>
      </x:c>
      <x:c r="M32" s="56" t="str">
        <x:f>IF(L32=F32,"Yes",IF(L32=0,"No","Partial"))</x:f>
        <x:v>Yes</x:v>
      </x:c>
      <x:c r="N32" s="56"/>
      <x:c r="O32" s="56"/>
      <x:c r="P32" s="56"/>
    </x:row>
    <x:row r="33">
      <x:c r="A33" s="56" t="n">
        <x:f>Student_Responses!A33</x:f>
        <x:v>0</x:v>
      </x:c>
      <x:c r="B33" s="56" t="n">
        <x:f>Student_Responses!B33</x:f>
        <x:v>0</x:v>
      </x:c>
      <x:c r="C33" s="56" t="n">
        <x:f>Student_Responses!C33</x:f>
        <x:v>0</x:v>
      </x:c>
      <x:c r="D33" s="56" t="n">
        <x:f>Student_Responses!G33</x:f>
        <x:v>0</x:v>
      </x:c>
      <x:c r="E33" s="56" t="n">
        <x:f>Student_Responses!H33</x:f>
        <x:v>0</x:v>
      </x:c>
      <x:c r="F33" s="82" t="str">
        <x:f>IFERROR(VLOOKUP(D33,Answer_Key!$D$5:$V$87,10,FALSE),"")</x:f>
      </x:c>
      <x:c r="G33" s="56" t="n">
        <x:f>Student_Responses!I33</x:f>
        <x:v>0</x:v>
      </x:c>
      <x:c r="H33" s="56" t="n">
        <x:f>Student_Responses!J33</x:f>
        <x:v>0</x:v>
      </x:c>
      <x:c r="I33" s="56" t="str">
        <x:f>IFERROR(VLOOKUP(D33,Answer_Key!$D$5:$V$87,8,FALSE),"")</x:f>
      </x:c>
      <x:c r="J33" s="82" t="str">
        <x:f>IF(E33="MCQ",IF(G33=IFERROR(VLOOKUP(D33,Answer_Key!$D$5:$V$87,8,FALSE),""),F33,0),IF(E33="FILLUP",IF(OR(LOWER(TRIM(G33))=LOWER(TRIM(IFERROR(VLOOKUP(D33,Answer_Key!$D$5:$V$87,8,FALSE),""))),ISNUMBER(SEARCH(LOWER(TRIM(G33)),LOWER(IFERROR(VLOOKUP(D33,Answer_Key!$D$5:$V$87,9,FALSE),""))))),F33,0),""))</x:f>
      </x:c>
      <x:c r="K33" s="82"/>
      <x:c r="L33" s="82" t="str">
        <x:f>IF(K33&lt;&gt;"",K33,J33)</x:f>
      </x:c>
      <x:c r="M33" s="56" t="str">
        <x:f>IF(L33=F33,"Yes",IF(L33=0,"No","Partial"))</x:f>
        <x:v>Yes</x:v>
      </x:c>
      <x:c r="N33" s="56"/>
      <x:c r="O33" s="56"/>
      <x:c r="P33" s="56"/>
    </x:row>
    <x:row r="34">
      <x:c r="A34" s="56" t="n">
        <x:f>Student_Responses!A34</x:f>
        <x:v>0</x:v>
      </x:c>
      <x:c r="B34" s="56" t="n">
        <x:f>Student_Responses!B34</x:f>
        <x:v>0</x:v>
      </x:c>
      <x:c r="C34" s="56" t="n">
        <x:f>Student_Responses!C34</x:f>
        <x:v>0</x:v>
      </x:c>
      <x:c r="D34" s="56" t="n">
        <x:f>Student_Responses!G34</x:f>
        <x:v>0</x:v>
      </x:c>
      <x:c r="E34" s="56" t="n">
        <x:f>Student_Responses!H34</x:f>
        <x:v>0</x:v>
      </x:c>
      <x:c r="F34" s="82" t="str">
        <x:f>IFERROR(VLOOKUP(D34,Answer_Key!$D$5:$V$87,10,FALSE),"")</x:f>
      </x:c>
      <x:c r="G34" s="56" t="n">
        <x:f>Student_Responses!I34</x:f>
        <x:v>0</x:v>
      </x:c>
      <x:c r="H34" s="56" t="n">
        <x:f>Student_Responses!J34</x:f>
        <x:v>0</x:v>
      </x:c>
      <x:c r="I34" s="56" t="str">
        <x:f>IFERROR(VLOOKUP(D34,Answer_Key!$D$5:$V$87,8,FALSE),"")</x:f>
      </x:c>
      <x:c r="J34" s="82" t="str">
        <x:f>IF(E34="MCQ",IF(G34=IFERROR(VLOOKUP(D34,Answer_Key!$D$5:$V$87,8,FALSE),""),F34,0),IF(E34="FILLUP",IF(OR(LOWER(TRIM(G34))=LOWER(TRIM(IFERROR(VLOOKUP(D34,Answer_Key!$D$5:$V$87,8,FALSE),""))),ISNUMBER(SEARCH(LOWER(TRIM(G34)),LOWER(IFERROR(VLOOKUP(D34,Answer_Key!$D$5:$V$87,9,FALSE),""))))),F34,0),""))</x:f>
      </x:c>
      <x:c r="K34" s="82"/>
      <x:c r="L34" s="82" t="str">
        <x:f>IF(K34&lt;&gt;"",K34,J34)</x:f>
      </x:c>
      <x:c r="M34" s="56" t="str">
        <x:f>IF(L34=F34,"Yes",IF(L34=0,"No","Partial"))</x:f>
        <x:v>Yes</x:v>
      </x:c>
      <x:c r="N34" s="56"/>
      <x:c r="O34" s="56"/>
      <x:c r="P34" s="56"/>
    </x:row>
    <x:row r="35">
      <x:c r="A35" s="56" t="n">
        <x:f>Student_Responses!A35</x:f>
        <x:v>0</x:v>
      </x:c>
      <x:c r="B35" s="56" t="n">
        <x:f>Student_Responses!B35</x:f>
        <x:v>0</x:v>
      </x:c>
      <x:c r="C35" s="56" t="n">
        <x:f>Student_Responses!C35</x:f>
        <x:v>0</x:v>
      </x:c>
      <x:c r="D35" s="56" t="n">
        <x:f>Student_Responses!G35</x:f>
        <x:v>0</x:v>
      </x:c>
      <x:c r="E35" s="56" t="n">
        <x:f>Student_Responses!H35</x:f>
        <x:v>0</x:v>
      </x:c>
      <x:c r="F35" s="82" t="str">
        <x:f>IFERROR(VLOOKUP(D35,Answer_Key!$D$5:$V$87,10,FALSE),"")</x:f>
      </x:c>
      <x:c r="G35" s="56" t="n">
        <x:f>Student_Responses!I35</x:f>
        <x:v>0</x:v>
      </x:c>
      <x:c r="H35" s="56" t="n">
        <x:f>Student_Responses!J35</x:f>
        <x:v>0</x:v>
      </x:c>
      <x:c r="I35" s="56" t="str">
        <x:f>IFERROR(VLOOKUP(D35,Answer_Key!$D$5:$V$87,8,FALSE),"")</x:f>
      </x:c>
      <x:c r="J35" s="82" t="str">
        <x:f>IF(E35="MCQ",IF(G35=IFERROR(VLOOKUP(D35,Answer_Key!$D$5:$V$87,8,FALSE),""),F35,0),IF(E35="FILLUP",IF(OR(LOWER(TRIM(G35))=LOWER(TRIM(IFERROR(VLOOKUP(D35,Answer_Key!$D$5:$V$87,8,FALSE),""))),ISNUMBER(SEARCH(LOWER(TRIM(G35)),LOWER(IFERROR(VLOOKUP(D35,Answer_Key!$D$5:$V$87,9,FALSE),""))))),F35,0),""))</x:f>
      </x:c>
      <x:c r="K35" s="82"/>
      <x:c r="L35" s="82" t="str">
        <x:f>IF(K35&lt;&gt;"",K35,J35)</x:f>
      </x:c>
      <x:c r="M35" s="56" t="str">
        <x:f>IF(L35=F35,"Yes",IF(L35=0,"No","Partial"))</x:f>
        <x:v>Yes</x:v>
      </x:c>
      <x:c r="N35" s="56"/>
      <x:c r="O35" s="56"/>
      <x:c r="P35" s="56"/>
    </x:row>
    <x:row r="36">
      <x:c r="A36" s="56" t="n">
        <x:f>Student_Responses!A36</x:f>
        <x:v>0</x:v>
      </x:c>
      <x:c r="B36" s="56" t="n">
        <x:f>Student_Responses!B36</x:f>
        <x:v>0</x:v>
      </x:c>
      <x:c r="C36" s="56" t="n">
        <x:f>Student_Responses!C36</x:f>
        <x:v>0</x:v>
      </x:c>
      <x:c r="D36" s="56" t="n">
        <x:f>Student_Responses!G36</x:f>
        <x:v>0</x:v>
      </x:c>
      <x:c r="E36" s="56" t="n">
        <x:f>Student_Responses!H36</x:f>
        <x:v>0</x:v>
      </x:c>
      <x:c r="F36" s="82" t="str">
        <x:f>IFERROR(VLOOKUP(D36,Answer_Key!$D$5:$V$87,10,FALSE),"")</x:f>
      </x:c>
      <x:c r="G36" s="56" t="n">
        <x:f>Student_Responses!I36</x:f>
        <x:v>0</x:v>
      </x:c>
      <x:c r="H36" s="56" t="n">
        <x:f>Student_Responses!J36</x:f>
        <x:v>0</x:v>
      </x:c>
      <x:c r="I36" s="56" t="str">
        <x:f>IFERROR(VLOOKUP(D36,Answer_Key!$D$5:$V$87,8,FALSE),"")</x:f>
      </x:c>
      <x:c r="J36" s="82" t="str">
        <x:f>IF(E36="MCQ",IF(G36=IFERROR(VLOOKUP(D36,Answer_Key!$D$5:$V$87,8,FALSE),""),F36,0),IF(E36="FILLUP",IF(OR(LOWER(TRIM(G36))=LOWER(TRIM(IFERROR(VLOOKUP(D36,Answer_Key!$D$5:$V$87,8,FALSE),""))),ISNUMBER(SEARCH(LOWER(TRIM(G36)),LOWER(IFERROR(VLOOKUP(D36,Answer_Key!$D$5:$V$87,9,FALSE),""))))),F36,0),""))</x:f>
      </x:c>
      <x:c r="K36" s="82"/>
      <x:c r="L36" s="82" t="str">
        <x:f>IF(K36&lt;&gt;"",K36,J36)</x:f>
      </x:c>
      <x:c r="M36" s="56" t="str">
        <x:f>IF(L36=F36,"Yes",IF(L36=0,"No","Partial"))</x:f>
        <x:v>Yes</x:v>
      </x:c>
      <x:c r="N36" s="56"/>
      <x:c r="O36" s="56"/>
      <x:c r="P36" s="56"/>
    </x:row>
    <x:row r="37">
      <x:c r="A37" s="56" t="n">
        <x:f>Student_Responses!A37</x:f>
        <x:v>0</x:v>
      </x:c>
      <x:c r="B37" s="56" t="n">
        <x:f>Student_Responses!B37</x:f>
        <x:v>0</x:v>
      </x:c>
      <x:c r="C37" s="56" t="n">
        <x:f>Student_Responses!C37</x:f>
        <x:v>0</x:v>
      </x:c>
      <x:c r="D37" s="56" t="n">
        <x:f>Student_Responses!G37</x:f>
        <x:v>0</x:v>
      </x:c>
      <x:c r="E37" s="56" t="n">
        <x:f>Student_Responses!H37</x:f>
        <x:v>0</x:v>
      </x:c>
      <x:c r="F37" s="82" t="str">
        <x:f>IFERROR(VLOOKUP(D37,Answer_Key!$D$5:$V$87,10,FALSE),"")</x:f>
      </x:c>
      <x:c r="G37" s="56" t="n">
        <x:f>Student_Responses!I37</x:f>
        <x:v>0</x:v>
      </x:c>
      <x:c r="H37" s="56" t="n">
        <x:f>Student_Responses!J37</x:f>
        <x:v>0</x:v>
      </x:c>
      <x:c r="I37" s="56" t="str">
        <x:f>IFERROR(VLOOKUP(D37,Answer_Key!$D$5:$V$87,8,FALSE),"")</x:f>
      </x:c>
      <x:c r="J37" s="82" t="str">
        <x:f>IF(E37="MCQ",IF(G37=IFERROR(VLOOKUP(D37,Answer_Key!$D$5:$V$87,8,FALSE),""),F37,0),IF(E37="FILLUP",IF(OR(LOWER(TRIM(G37))=LOWER(TRIM(IFERROR(VLOOKUP(D37,Answer_Key!$D$5:$V$87,8,FALSE),""))),ISNUMBER(SEARCH(LOWER(TRIM(G37)),LOWER(IFERROR(VLOOKUP(D37,Answer_Key!$D$5:$V$87,9,FALSE),""))))),F37,0),""))</x:f>
      </x:c>
      <x:c r="K37" s="82"/>
      <x:c r="L37" s="82" t="str">
        <x:f>IF(K37&lt;&gt;"",K37,J37)</x:f>
      </x:c>
      <x:c r="M37" s="56" t="str">
        <x:f>IF(L37=F37,"Yes",IF(L37=0,"No","Partial"))</x:f>
        <x:v>Yes</x:v>
      </x:c>
      <x:c r="N37" s="56"/>
      <x:c r="O37" s="56"/>
      <x:c r="P37" s="56"/>
    </x:row>
    <x:row r="38">
      <x:c r="A38" s="56" t="n">
        <x:f>Student_Responses!A38</x:f>
        <x:v>0</x:v>
      </x:c>
      <x:c r="B38" s="56" t="n">
        <x:f>Student_Responses!B38</x:f>
        <x:v>0</x:v>
      </x:c>
      <x:c r="C38" s="56" t="n">
        <x:f>Student_Responses!C38</x:f>
        <x:v>0</x:v>
      </x:c>
      <x:c r="D38" s="56" t="n">
        <x:f>Student_Responses!G38</x:f>
        <x:v>0</x:v>
      </x:c>
      <x:c r="E38" s="56" t="n">
        <x:f>Student_Responses!H38</x:f>
        <x:v>0</x:v>
      </x:c>
      <x:c r="F38" s="82" t="str">
        <x:f>IFERROR(VLOOKUP(D38,Answer_Key!$D$5:$V$87,10,FALSE),"")</x:f>
      </x:c>
      <x:c r="G38" s="56" t="n">
        <x:f>Student_Responses!I38</x:f>
        <x:v>0</x:v>
      </x:c>
      <x:c r="H38" s="56" t="n">
        <x:f>Student_Responses!J38</x:f>
        <x:v>0</x:v>
      </x:c>
      <x:c r="I38" s="56" t="str">
        <x:f>IFERROR(VLOOKUP(D38,Answer_Key!$D$5:$V$87,8,FALSE),"")</x:f>
      </x:c>
      <x:c r="J38" s="82" t="str">
        <x:f>IF(E38="MCQ",IF(G38=IFERROR(VLOOKUP(D38,Answer_Key!$D$5:$V$87,8,FALSE),""),F38,0),IF(E38="FILLUP",IF(OR(LOWER(TRIM(G38))=LOWER(TRIM(IFERROR(VLOOKUP(D38,Answer_Key!$D$5:$V$87,8,FALSE),""))),ISNUMBER(SEARCH(LOWER(TRIM(G38)),LOWER(IFERROR(VLOOKUP(D38,Answer_Key!$D$5:$V$87,9,FALSE),""))))),F38,0),""))</x:f>
      </x:c>
      <x:c r="K38" s="82"/>
      <x:c r="L38" s="82" t="str">
        <x:f>IF(K38&lt;&gt;"",K38,J38)</x:f>
      </x:c>
      <x:c r="M38" s="56" t="str">
        <x:f>IF(L38=F38,"Yes",IF(L38=0,"No","Partial"))</x:f>
        <x:v>Yes</x:v>
      </x:c>
      <x:c r="N38" s="56"/>
      <x:c r="O38" s="56"/>
      <x:c r="P38" s="56"/>
    </x:row>
    <x:row r="39">
      <x:c r="A39" s="56" t="n">
        <x:f>Student_Responses!A39</x:f>
        <x:v>0</x:v>
      </x:c>
      <x:c r="B39" s="56" t="n">
        <x:f>Student_Responses!B39</x:f>
        <x:v>0</x:v>
      </x:c>
      <x:c r="C39" s="56" t="n">
        <x:f>Student_Responses!C39</x:f>
        <x:v>0</x:v>
      </x:c>
      <x:c r="D39" s="56" t="n">
        <x:f>Student_Responses!G39</x:f>
        <x:v>0</x:v>
      </x:c>
      <x:c r="E39" s="56" t="n">
        <x:f>Student_Responses!H39</x:f>
        <x:v>0</x:v>
      </x:c>
      <x:c r="F39" s="82" t="str">
        <x:f>IFERROR(VLOOKUP(D39,Answer_Key!$D$5:$V$87,10,FALSE),"")</x:f>
      </x:c>
      <x:c r="G39" s="56" t="n">
        <x:f>Student_Responses!I39</x:f>
        <x:v>0</x:v>
      </x:c>
      <x:c r="H39" s="56" t="n">
        <x:f>Student_Responses!J39</x:f>
        <x:v>0</x:v>
      </x:c>
      <x:c r="I39" s="56" t="str">
        <x:f>IFERROR(VLOOKUP(D39,Answer_Key!$D$5:$V$87,8,FALSE),"")</x:f>
      </x:c>
      <x:c r="J39" s="82" t="str">
        <x:f>IF(E39="MCQ",IF(G39=IFERROR(VLOOKUP(D39,Answer_Key!$D$5:$V$87,8,FALSE),""),F39,0),IF(E39="FILLUP",IF(OR(LOWER(TRIM(G39))=LOWER(TRIM(IFERROR(VLOOKUP(D39,Answer_Key!$D$5:$V$87,8,FALSE),""))),ISNUMBER(SEARCH(LOWER(TRIM(G39)),LOWER(IFERROR(VLOOKUP(D39,Answer_Key!$D$5:$V$87,9,FALSE),""))))),F39,0),""))</x:f>
      </x:c>
      <x:c r="K39" s="82"/>
      <x:c r="L39" s="82" t="str">
        <x:f>IF(K39&lt;&gt;"",K39,J39)</x:f>
      </x:c>
      <x:c r="M39" s="56" t="str">
        <x:f>IF(L39=F39,"Yes",IF(L39=0,"No","Partial"))</x:f>
        <x:v>Yes</x:v>
      </x:c>
      <x:c r="N39" s="56"/>
      <x:c r="O39" s="56"/>
      <x:c r="P39" s="56"/>
    </x:row>
    <x:row r="40">
      <x:c r="A40" s="56" t="n">
        <x:f>Student_Responses!A40</x:f>
        <x:v>0</x:v>
      </x:c>
      <x:c r="B40" s="56" t="n">
        <x:f>Student_Responses!B40</x:f>
        <x:v>0</x:v>
      </x:c>
      <x:c r="C40" s="56" t="n">
        <x:f>Student_Responses!C40</x:f>
        <x:v>0</x:v>
      </x:c>
      <x:c r="D40" s="56" t="n">
        <x:f>Student_Responses!G40</x:f>
        <x:v>0</x:v>
      </x:c>
      <x:c r="E40" s="56" t="n">
        <x:f>Student_Responses!H40</x:f>
        <x:v>0</x:v>
      </x:c>
      <x:c r="F40" s="82" t="str">
        <x:f>IFERROR(VLOOKUP(D40,Answer_Key!$D$5:$V$87,10,FALSE),"")</x:f>
      </x:c>
      <x:c r="G40" s="56" t="n">
        <x:f>Student_Responses!I40</x:f>
        <x:v>0</x:v>
      </x:c>
      <x:c r="H40" s="56" t="n">
        <x:f>Student_Responses!J40</x:f>
        <x:v>0</x:v>
      </x:c>
      <x:c r="I40" s="56" t="str">
        <x:f>IFERROR(VLOOKUP(D40,Answer_Key!$D$5:$V$87,8,FALSE),"")</x:f>
      </x:c>
      <x:c r="J40" s="82" t="str">
        <x:f>IF(E40="MCQ",IF(G40=IFERROR(VLOOKUP(D40,Answer_Key!$D$5:$V$87,8,FALSE),""),F40,0),IF(E40="FILLUP",IF(OR(LOWER(TRIM(G40))=LOWER(TRIM(IFERROR(VLOOKUP(D40,Answer_Key!$D$5:$V$87,8,FALSE),""))),ISNUMBER(SEARCH(LOWER(TRIM(G40)),LOWER(IFERROR(VLOOKUP(D40,Answer_Key!$D$5:$V$87,9,FALSE),""))))),F40,0),""))</x:f>
      </x:c>
      <x:c r="K40" s="82"/>
      <x:c r="L40" s="82" t="str">
        <x:f>IF(K40&lt;&gt;"",K40,J40)</x:f>
      </x:c>
      <x:c r="M40" s="56" t="str">
        <x:f>IF(L40=F40,"Yes",IF(L40=0,"No","Partial"))</x:f>
        <x:v>Yes</x:v>
      </x:c>
      <x:c r="N40" s="56"/>
      <x:c r="O40" s="56"/>
      <x:c r="P40" s="56"/>
    </x:row>
    <x:row r="41">
      <x:c r="A41" s="56" t="n">
        <x:f>Student_Responses!A41</x:f>
        <x:v>0</x:v>
      </x:c>
      <x:c r="B41" s="56" t="n">
        <x:f>Student_Responses!B41</x:f>
        <x:v>0</x:v>
      </x:c>
      <x:c r="C41" s="56" t="n">
        <x:f>Student_Responses!C41</x:f>
        <x:v>0</x:v>
      </x:c>
      <x:c r="D41" s="56" t="n">
        <x:f>Student_Responses!G41</x:f>
        <x:v>0</x:v>
      </x:c>
      <x:c r="E41" s="56" t="n">
        <x:f>Student_Responses!H41</x:f>
        <x:v>0</x:v>
      </x:c>
      <x:c r="F41" s="82" t="str">
        <x:f>IFERROR(VLOOKUP(D41,Answer_Key!$D$5:$V$87,10,FALSE),"")</x:f>
      </x:c>
      <x:c r="G41" s="56" t="n">
        <x:f>Student_Responses!I41</x:f>
        <x:v>0</x:v>
      </x:c>
      <x:c r="H41" s="56" t="n">
        <x:f>Student_Responses!J41</x:f>
        <x:v>0</x:v>
      </x:c>
      <x:c r="I41" s="56" t="str">
        <x:f>IFERROR(VLOOKUP(D41,Answer_Key!$D$5:$V$87,8,FALSE),"")</x:f>
      </x:c>
      <x:c r="J41" s="82" t="str">
        <x:f>IF(E41="MCQ",IF(G41=IFERROR(VLOOKUP(D41,Answer_Key!$D$5:$V$87,8,FALSE),""),F41,0),IF(E41="FILLUP",IF(OR(LOWER(TRIM(G41))=LOWER(TRIM(IFERROR(VLOOKUP(D41,Answer_Key!$D$5:$V$87,8,FALSE),""))),ISNUMBER(SEARCH(LOWER(TRIM(G41)),LOWER(IFERROR(VLOOKUP(D41,Answer_Key!$D$5:$V$87,9,FALSE),""))))),F41,0),""))</x:f>
      </x:c>
      <x:c r="K41" s="82"/>
      <x:c r="L41" s="82" t="str">
        <x:f>IF(K41&lt;&gt;"",K41,J41)</x:f>
      </x:c>
      <x:c r="M41" s="56" t="str">
        <x:f>IF(L41=F41,"Yes",IF(L41=0,"No","Partial"))</x:f>
        <x:v>Yes</x:v>
      </x:c>
      <x:c r="N41" s="56"/>
      <x:c r="O41" s="56"/>
      <x:c r="P41" s="56"/>
    </x:row>
    <x:row r="42">
      <x:c r="A42" s="56" t="n">
        <x:f>Student_Responses!A42</x:f>
        <x:v>0</x:v>
      </x:c>
      <x:c r="B42" s="56" t="n">
        <x:f>Student_Responses!B42</x:f>
        <x:v>0</x:v>
      </x:c>
      <x:c r="C42" s="56" t="n">
        <x:f>Student_Responses!C42</x:f>
        <x:v>0</x:v>
      </x:c>
      <x:c r="D42" s="56" t="n">
        <x:f>Student_Responses!G42</x:f>
        <x:v>0</x:v>
      </x:c>
      <x:c r="E42" s="56" t="n">
        <x:f>Student_Responses!H42</x:f>
        <x:v>0</x:v>
      </x:c>
      <x:c r="F42" s="82" t="str">
        <x:f>IFERROR(VLOOKUP(D42,Answer_Key!$D$5:$V$87,10,FALSE),"")</x:f>
      </x:c>
      <x:c r="G42" s="56" t="n">
        <x:f>Student_Responses!I42</x:f>
        <x:v>0</x:v>
      </x:c>
      <x:c r="H42" s="56" t="n">
        <x:f>Student_Responses!J42</x:f>
        <x:v>0</x:v>
      </x:c>
      <x:c r="I42" s="56" t="str">
        <x:f>IFERROR(VLOOKUP(D42,Answer_Key!$D$5:$V$87,8,FALSE),"")</x:f>
      </x:c>
      <x:c r="J42" s="82" t="str">
        <x:f>IF(E42="MCQ",IF(G42=IFERROR(VLOOKUP(D42,Answer_Key!$D$5:$V$87,8,FALSE),""),F42,0),IF(E42="FILLUP",IF(OR(LOWER(TRIM(G42))=LOWER(TRIM(IFERROR(VLOOKUP(D42,Answer_Key!$D$5:$V$87,8,FALSE),""))),ISNUMBER(SEARCH(LOWER(TRIM(G42)),LOWER(IFERROR(VLOOKUP(D42,Answer_Key!$D$5:$V$87,9,FALSE),""))))),F42,0),""))</x:f>
      </x:c>
      <x:c r="K42" s="82"/>
      <x:c r="L42" s="82" t="str">
        <x:f>IF(K42&lt;&gt;"",K42,J42)</x:f>
      </x:c>
      <x:c r="M42" s="56" t="str">
        <x:f>IF(L42=F42,"Yes",IF(L42=0,"No","Partial"))</x:f>
        <x:v>Yes</x:v>
      </x:c>
      <x:c r="N42" s="56"/>
      <x:c r="O42" s="56"/>
      <x:c r="P42" s="56"/>
    </x:row>
    <x:row r="43">
      <x:c r="A43" s="56" t="n">
        <x:f>Student_Responses!A43</x:f>
        <x:v>0</x:v>
      </x:c>
      <x:c r="B43" s="56" t="n">
        <x:f>Student_Responses!B43</x:f>
        <x:v>0</x:v>
      </x:c>
      <x:c r="C43" s="56" t="n">
        <x:f>Student_Responses!C43</x:f>
        <x:v>0</x:v>
      </x:c>
      <x:c r="D43" s="56" t="n">
        <x:f>Student_Responses!G43</x:f>
        <x:v>0</x:v>
      </x:c>
      <x:c r="E43" s="56" t="n">
        <x:f>Student_Responses!H43</x:f>
        <x:v>0</x:v>
      </x:c>
      <x:c r="F43" s="82" t="str">
        <x:f>IFERROR(VLOOKUP(D43,Answer_Key!$D$5:$V$87,10,FALSE),"")</x:f>
      </x:c>
      <x:c r="G43" s="56" t="n">
        <x:f>Student_Responses!I43</x:f>
        <x:v>0</x:v>
      </x:c>
      <x:c r="H43" s="56" t="n">
        <x:f>Student_Responses!J43</x:f>
        <x:v>0</x:v>
      </x:c>
      <x:c r="I43" s="56" t="str">
        <x:f>IFERROR(VLOOKUP(D43,Answer_Key!$D$5:$V$87,8,FALSE),"")</x:f>
      </x:c>
      <x:c r="J43" s="82" t="str">
        <x:f>IF(E43="MCQ",IF(G43=IFERROR(VLOOKUP(D43,Answer_Key!$D$5:$V$87,8,FALSE),""),F43,0),IF(E43="FILLUP",IF(OR(LOWER(TRIM(G43))=LOWER(TRIM(IFERROR(VLOOKUP(D43,Answer_Key!$D$5:$V$87,8,FALSE),""))),ISNUMBER(SEARCH(LOWER(TRIM(G43)),LOWER(IFERROR(VLOOKUP(D43,Answer_Key!$D$5:$V$87,9,FALSE),""))))),F43,0),""))</x:f>
      </x:c>
      <x:c r="K43" s="82"/>
      <x:c r="L43" s="82" t="str">
        <x:f>IF(K43&lt;&gt;"",K43,J43)</x:f>
      </x:c>
      <x:c r="M43" s="56" t="str">
        <x:f>IF(L43=F43,"Yes",IF(L43=0,"No","Partial"))</x:f>
        <x:v>Yes</x:v>
      </x:c>
      <x:c r="N43" s="56"/>
      <x:c r="O43" s="56"/>
      <x:c r="P43" s="56"/>
    </x:row>
    <x:row r="44">
      <x:c r="A44" s="56" t="n">
        <x:f>Student_Responses!A44</x:f>
        <x:v>0</x:v>
      </x:c>
      <x:c r="B44" s="56" t="n">
        <x:f>Student_Responses!B44</x:f>
        <x:v>0</x:v>
      </x:c>
      <x:c r="C44" s="56" t="n">
        <x:f>Student_Responses!C44</x:f>
        <x:v>0</x:v>
      </x:c>
      <x:c r="D44" s="56" t="n">
        <x:f>Student_Responses!G44</x:f>
        <x:v>0</x:v>
      </x:c>
      <x:c r="E44" s="56" t="n">
        <x:f>Student_Responses!H44</x:f>
        <x:v>0</x:v>
      </x:c>
      <x:c r="F44" s="82" t="str">
        <x:f>IFERROR(VLOOKUP(D44,Answer_Key!$D$5:$V$87,10,FALSE),"")</x:f>
      </x:c>
      <x:c r="G44" s="56" t="n">
        <x:f>Student_Responses!I44</x:f>
        <x:v>0</x:v>
      </x:c>
      <x:c r="H44" s="56" t="n">
        <x:f>Student_Responses!J44</x:f>
        <x:v>0</x:v>
      </x:c>
      <x:c r="I44" s="56" t="str">
        <x:f>IFERROR(VLOOKUP(D44,Answer_Key!$D$5:$V$87,8,FALSE),"")</x:f>
      </x:c>
      <x:c r="J44" s="82" t="str">
        <x:f>IF(E44="MCQ",IF(G44=IFERROR(VLOOKUP(D44,Answer_Key!$D$5:$V$87,8,FALSE),""),F44,0),IF(E44="FILLUP",IF(OR(LOWER(TRIM(G44))=LOWER(TRIM(IFERROR(VLOOKUP(D44,Answer_Key!$D$5:$V$87,8,FALSE),""))),ISNUMBER(SEARCH(LOWER(TRIM(G44)),LOWER(IFERROR(VLOOKUP(D44,Answer_Key!$D$5:$V$87,9,FALSE),""))))),F44,0),""))</x:f>
      </x:c>
      <x:c r="K44" s="82"/>
      <x:c r="L44" s="82" t="str">
        <x:f>IF(K44&lt;&gt;"",K44,J44)</x:f>
      </x:c>
      <x:c r="M44" s="56" t="str">
        <x:f>IF(L44=F44,"Yes",IF(L44=0,"No","Partial"))</x:f>
        <x:v>Yes</x:v>
      </x:c>
      <x:c r="N44" s="56"/>
      <x:c r="O44" s="56"/>
      <x:c r="P44" s="56"/>
    </x:row>
    <x:row r="45">
      <x:c r="A45" s="56" t="n">
        <x:f>Student_Responses!A45</x:f>
        <x:v>0</x:v>
      </x:c>
      <x:c r="B45" s="56" t="n">
        <x:f>Student_Responses!B45</x:f>
        <x:v>0</x:v>
      </x:c>
      <x:c r="C45" s="56" t="n">
        <x:f>Student_Responses!C45</x:f>
        <x:v>0</x:v>
      </x:c>
      <x:c r="D45" s="56" t="n">
        <x:f>Student_Responses!G45</x:f>
        <x:v>0</x:v>
      </x:c>
      <x:c r="E45" s="56" t="n">
        <x:f>Student_Responses!H45</x:f>
        <x:v>0</x:v>
      </x:c>
      <x:c r="F45" s="82" t="str">
        <x:f>IFERROR(VLOOKUP(D45,Answer_Key!$D$5:$V$87,10,FALSE),"")</x:f>
      </x:c>
      <x:c r="G45" s="56" t="n">
        <x:f>Student_Responses!I45</x:f>
        <x:v>0</x:v>
      </x:c>
      <x:c r="H45" s="56" t="n">
        <x:f>Student_Responses!J45</x:f>
        <x:v>0</x:v>
      </x:c>
      <x:c r="I45" s="56" t="str">
        <x:f>IFERROR(VLOOKUP(D45,Answer_Key!$D$5:$V$87,8,FALSE),"")</x:f>
      </x:c>
      <x:c r="J45" s="82" t="str">
        <x:f>IF(E45="MCQ",IF(G45=IFERROR(VLOOKUP(D45,Answer_Key!$D$5:$V$87,8,FALSE),""),F45,0),IF(E45="FILLUP",IF(OR(LOWER(TRIM(G45))=LOWER(TRIM(IFERROR(VLOOKUP(D45,Answer_Key!$D$5:$V$87,8,FALSE),""))),ISNUMBER(SEARCH(LOWER(TRIM(G45)),LOWER(IFERROR(VLOOKUP(D45,Answer_Key!$D$5:$V$87,9,FALSE),""))))),F45,0),""))</x:f>
      </x:c>
      <x:c r="K45" s="82"/>
      <x:c r="L45" s="82" t="str">
        <x:f>IF(K45&lt;&gt;"",K45,J45)</x:f>
      </x:c>
      <x:c r="M45" s="56" t="str">
        <x:f>IF(L45=F45,"Yes",IF(L45=0,"No","Partial"))</x:f>
        <x:v>Yes</x:v>
      </x:c>
      <x:c r="N45" s="56"/>
      <x:c r="O45" s="56"/>
      <x:c r="P45" s="56"/>
    </x:row>
    <x:row r="46">
      <x:c r="A46" s="56" t="n">
        <x:f>Student_Responses!A46</x:f>
        <x:v>0</x:v>
      </x:c>
      <x:c r="B46" s="56" t="n">
        <x:f>Student_Responses!B46</x:f>
        <x:v>0</x:v>
      </x:c>
      <x:c r="C46" s="56" t="n">
        <x:f>Student_Responses!C46</x:f>
        <x:v>0</x:v>
      </x:c>
      <x:c r="D46" s="56" t="n">
        <x:f>Student_Responses!G46</x:f>
        <x:v>0</x:v>
      </x:c>
      <x:c r="E46" s="56" t="n">
        <x:f>Student_Responses!H46</x:f>
        <x:v>0</x:v>
      </x:c>
      <x:c r="F46" s="82" t="str">
        <x:f>IFERROR(VLOOKUP(D46,Answer_Key!$D$5:$V$87,10,FALSE),"")</x:f>
      </x:c>
      <x:c r="G46" s="56" t="n">
        <x:f>Student_Responses!I46</x:f>
        <x:v>0</x:v>
      </x:c>
      <x:c r="H46" s="56" t="n">
        <x:f>Student_Responses!J46</x:f>
        <x:v>0</x:v>
      </x:c>
      <x:c r="I46" s="56" t="str">
        <x:f>IFERROR(VLOOKUP(D46,Answer_Key!$D$5:$V$87,8,FALSE),"")</x:f>
      </x:c>
      <x:c r="J46" s="82" t="str">
        <x:f>IF(E46="MCQ",IF(G46=IFERROR(VLOOKUP(D46,Answer_Key!$D$5:$V$87,8,FALSE),""),F46,0),IF(E46="FILLUP",IF(OR(LOWER(TRIM(G46))=LOWER(TRIM(IFERROR(VLOOKUP(D46,Answer_Key!$D$5:$V$87,8,FALSE),""))),ISNUMBER(SEARCH(LOWER(TRIM(G46)),LOWER(IFERROR(VLOOKUP(D46,Answer_Key!$D$5:$V$87,9,FALSE),""))))),F46,0),""))</x:f>
      </x:c>
      <x:c r="K46" s="82"/>
      <x:c r="L46" s="82" t="str">
        <x:f>IF(K46&lt;&gt;"",K46,J46)</x:f>
      </x:c>
      <x:c r="M46" s="56" t="str">
        <x:f>IF(L46=F46,"Yes",IF(L46=0,"No","Partial"))</x:f>
        <x:v>Yes</x:v>
      </x:c>
      <x:c r="N46" s="56"/>
      <x:c r="O46" s="56"/>
      <x:c r="P46" s="56"/>
    </x:row>
    <x:row r="47">
      <x:c r="A47" s="56" t="n">
        <x:f>Student_Responses!A47</x:f>
        <x:v>0</x:v>
      </x:c>
      <x:c r="B47" s="56" t="n">
        <x:f>Student_Responses!B47</x:f>
        <x:v>0</x:v>
      </x:c>
      <x:c r="C47" s="56" t="n">
        <x:f>Student_Responses!C47</x:f>
        <x:v>0</x:v>
      </x:c>
      <x:c r="D47" s="56" t="n">
        <x:f>Student_Responses!G47</x:f>
        <x:v>0</x:v>
      </x:c>
      <x:c r="E47" s="56" t="n">
        <x:f>Student_Responses!H47</x:f>
        <x:v>0</x:v>
      </x:c>
      <x:c r="F47" s="82" t="str">
        <x:f>IFERROR(VLOOKUP(D47,Answer_Key!$D$5:$V$87,10,FALSE),"")</x:f>
      </x:c>
      <x:c r="G47" s="56" t="n">
        <x:f>Student_Responses!I47</x:f>
        <x:v>0</x:v>
      </x:c>
      <x:c r="H47" s="56" t="n">
        <x:f>Student_Responses!J47</x:f>
        <x:v>0</x:v>
      </x:c>
      <x:c r="I47" s="56" t="str">
        <x:f>IFERROR(VLOOKUP(D47,Answer_Key!$D$5:$V$87,8,FALSE),"")</x:f>
      </x:c>
      <x:c r="J47" s="82" t="str">
        <x:f>IF(E47="MCQ",IF(G47=IFERROR(VLOOKUP(D47,Answer_Key!$D$5:$V$87,8,FALSE),""),F47,0),IF(E47="FILLUP",IF(OR(LOWER(TRIM(G47))=LOWER(TRIM(IFERROR(VLOOKUP(D47,Answer_Key!$D$5:$V$87,8,FALSE),""))),ISNUMBER(SEARCH(LOWER(TRIM(G47)),LOWER(IFERROR(VLOOKUP(D47,Answer_Key!$D$5:$V$87,9,FALSE),""))))),F47,0),""))</x:f>
      </x:c>
      <x:c r="K47" s="82"/>
      <x:c r="L47" s="82" t="str">
        <x:f>IF(K47&lt;&gt;"",K47,J47)</x:f>
      </x:c>
      <x:c r="M47" s="56" t="str">
        <x:f>IF(L47=F47,"Yes",IF(L47=0,"No","Partial"))</x:f>
        <x:v>Yes</x:v>
      </x:c>
      <x:c r="N47" s="56"/>
      <x:c r="O47" s="56"/>
      <x:c r="P47" s="56"/>
    </x:row>
    <x:row r="48">
      <x:c r="A48" s="56" t="n">
        <x:f>Student_Responses!A48</x:f>
        <x:v>0</x:v>
      </x:c>
      <x:c r="B48" s="56" t="n">
        <x:f>Student_Responses!B48</x:f>
        <x:v>0</x:v>
      </x:c>
      <x:c r="C48" s="56" t="n">
        <x:f>Student_Responses!C48</x:f>
        <x:v>0</x:v>
      </x:c>
      <x:c r="D48" s="56" t="n">
        <x:f>Student_Responses!G48</x:f>
        <x:v>0</x:v>
      </x:c>
      <x:c r="E48" s="56" t="n">
        <x:f>Student_Responses!H48</x:f>
        <x:v>0</x:v>
      </x:c>
      <x:c r="F48" s="82" t="str">
        <x:f>IFERROR(VLOOKUP(D48,Answer_Key!$D$5:$V$87,10,FALSE),"")</x:f>
      </x:c>
      <x:c r="G48" s="56" t="n">
        <x:f>Student_Responses!I48</x:f>
        <x:v>0</x:v>
      </x:c>
      <x:c r="H48" s="56" t="n">
        <x:f>Student_Responses!J48</x:f>
        <x:v>0</x:v>
      </x:c>
      <x:c r="I48" s="56" t="str">
        <x:f>IFERROR(VLOOKUP(D48,Answer_Key!$D$5:$V$87,8,FALSE),"")</x:f>
      </x:c>
      <x:c r="J48" s="82" t="str">
        <x:f>IF(E48="MCQ",IF(G48=IFERROR(VLOOKUP(D48,Answer_Key!$D$5:$V$87,8,FALSE),""),F48,0),IF(E48="FILLUP",IF(OR(LOWER(TRIM(G48))=LOWER(TRIM(IFERROR(VLOOKUP(D48,Answer_Key!$D$5:$V$87,8,FALSE),""))),ISNUMBER(SEARCH(LOWER(TRIM(G48)),LOWER(IFERROR(VLOOKUP(D48,Answer_Key!$D$5:$V$87,9,FALSE),""))))),F48,0),""))</x:f>
      </x:c>
      <x:c r="K48" s="82"/>
      <x:c r="L48" s="82" t="str">
        <x:f>IF(K48&lt;&gt;"",K48,J48)</x:f>
      </x:c>
      <x:c r="M48" s="56" t="str">
        <x:f>IF(L48=F48,"Yes",IF(L48=0,"No","Partial"))</x:f>
        <x:v>Yes</x:v>
      </x:c>
      <x:c r="N48" s="56"/>
      <x:c r="O48" s="56"/>
      <x:c r="P48" s="56"/>
    </x:row>
    <x:row r="49">
      <x:c r="A49" s="56" t="n">
        <x:f>Student_Responses!A49</x:f>
        <x:v>0</x:v>
      </x:c>
      <x:c r="B49" s="56" t="n">
        <x:f>Student_Responses!B49</x:f>
        <x:v>0</x:v>
      </x:c>
      <x:c r="C49" s="56" t="n">
        <x:f>Student_Responses!C49</x:f>
        <x:v>0</x:v>
      </x:c>
      <x:c r="D49" s="56" t="n">
        <x:f>Student_Responses!G49</x:f>
        <x:v>0</x:v>
      </x:c>
      <x:c r="E49" s="56" t="n">
        <x:f>Student_Responses!H49</x:f>
        <x:v>0</x:v>
      </x:c>
      <x:c r="F49" s="82" t="str">
        <x:f>IFERROR(VLOOKUP(D49,Answer_Key!$D$5:$V$87,10,FALSE),"")</x:f>
      </x:c>
      <x:c r="G49" s="56" t="n">
        <x:f>Student_Responses!I49</x:f>
        <x:v>0</x:v>
      </x:c>
      <x:c r="H49" s="56" t="n">
        <x:f>Student_Responses!J49</x:f>
        <x:v>0</x:v>
      </x:c>
      <x:c r="I49" s="56" t="str">
        <x:f>IFERROR(VLOOKUP(D49,Answer_Key!$D$5:$V$87,8,FALSE),"")</x:f>
      </x:c>
      <x:c r="J49" s="82" t="str">
        <x:f>IF(E49="MCQ",IF(G49=IFERROR(VLOOKUP(D49,Answer_Key!$D$5:$V$87,8,FALSE),""),F49,0),IF(E49="FILLUP",IF(OR(LOWER(TRIM(G49))=LOWER(TRIM(IFERROR(VLOOKUP(D49,Answer_Key!$D$5:$V$87,8,FALSE),""))),ISNUMBER(SEARCH(LOWER(TRIM(G49)),LOWER(IFERROR(VLOOKUP(D49,Answer_Key!$D$5:$V$87,9,FALSE),""))))),F49,0),""))</x:f>
      </x:c>
      <x:c r="K49" s="82"/>
      <x:c r="L49" s="82" t="str">
        <x:f>IF(K49&lt;&gt;"",K49,J49)</x:f>
      </x:c>
      <x:c r="M49" s="56" t="str">
        <x:f>IF(L49=F49,"Yes",IF(L49=0,"No","Partial"))</x:f>
        <x:v>Yes</x:v>
      </x:c>
      <x:c r="N49" s="56"/>
      <x:c r="O49" s="56"/>
      <x:c r="P49" s="56"/>
    </x:row>
    <x:row r="50">
      <x:c r="A50" s="56" t="n">
        <x:f>Student_Responses!A50</x:f>
        <x:v>0</x:v>
      </x:c>
      <x:c r="B50" s="56" t="n">
        <x:f>Student_Responses!B50</x:f>
        <x:v>0</x:v>
      </x:c>
      <x:c r="C50" s="56" t="n">
        <x:f>Student_Responses!C50</x:f>
        <x:v>0</x:v>
      </x:c>
      <x:c r="D50" s="56" t="n">
        <x:f>Student_Responses!G50</x:f>
        <x:v>0</x:v>
      </x:c>
      <x:c r="E50" s="56" t="n">
        <x:f>Student_Responses!H50</x:f>
        <x:v>0</x:v>
      </x:c>
      <x:c r="F50" s="82" t="str">
        <x:f>IFERROR(VLOOKUP(D50,Answer_Key!$D$5:$V$87,10,FALSE),"")</x:f>
      </x:c>
      <x:c r="G50" s="56" t="n">
        <x:f>Student_Responses!I50</x:f>
        <x:v>0</x:v>
      </x:c>
      <x:c r="H50" s="56" t="n">
        <x:f>Student_Responses!J50</x:f>
        <x:v>0</x:v>
      </x:c>
      <x:c r="I50" s="56" t="str">
        <x:f>IFERROR(VLOOKUP(D50,Answer_Key!$D$5:$V$87,8,FALSE),"")</x:f>
      </x:c>
      <x:c r="J50" s="82" t="str">
        <x:f>IF(E50="MCQ",IF(G50=IFERROR(VLOOKUP(D50,Answer_Key!$D$5:$V$87,8,FALSE),""),F50,0),IF(E50="FILLUP",IF(OR(LOWER(TRIM(G50))=LOWER(TRIM(IFERROR(VLOOKUP(D50,Answer_Key!$D$5:$V$87,8,FALSE),""))),ISNUMBER(SEARCH(LOWER(TRIM(G50)),LOWER(IFERROR(VLOOKUP(D50,Answer_Key!$D$5:$V$87,9,FALSE),""))))),F50,0),""))</x:f>
      </x:c>
      <x:c r="K50" s="82"/>
      <x:c r="L50" s="82" t="str">
        <x:f>IF(K50&lt;&gt;"",K50,J50)</x:f>
      </x:c>
      <x:c r="M50" s="56" t="str">
        <x:f>IF(L50=F50,"Yes",IF(L50=0,"No","Partial"))</x:f>
        <x:v>Yes</x:v>
      </x:c>
      <x:c r="N50" s="56"/>
      <x:c r="O50" s="56"/>
      <x:c r="P50" s="56"/>
    </x:row>
    <x:row r="51">
      <x:c r="A51" s="56" t="n">
        <x:f>Student_Responses!A51</x:f>
        <x:v>0</x:v>
      </x:c>
      <x:c r="B51" s="56" t="n">
        <x:f>Student_Responses!B51</x:f>
        <x:v>0</x:v>
      </x:c>
      <x:c r="C51" s="56" t="n">
        <x:f>Student_Responses!C51</x:f>
        <x:v>0</x:v>
      </x:c>
      <x:c r="D51" s="56" t="n">
        <x:f>Student_Responses!G51</x:f>
        <x:v>0</x:v>
      </x:c>
      <x:c r="E51" s="56" t="n">
        <x:f>Student_Responses!H51</x:f>
        <x:v>0</x:v>
      </x:c>
      <x:c r="F51" s="82" t="str">
        <x:f>IFERROR(VLOOKUP(D51,Answer_Key!$D$5:$V$87,10,FALSE),"")</x:f>
      </x:c>
      <x:c r="G51" s="56" t="n">
        <x:f>Student_Responses!I51</x:f>
        <x:v>0</x:v>
      </x:c>
      <x:c r="H51" s="56" t="n">
        <x:f>Student_Responses!J51</x:f>
        <x:v>0</x:v>
      </x:c>
      <x:c r="I51" s="56" t="str">
        <x:f>IFERROR(VLOOKUP(D51,Answer_Key!$D$5:$V$87,8,FALSE),"")</x:f>
      </x:c>
      <x:c r="J51" s="82" t="str">
        <x:f>IF(E51="MCQ",IF(G51=IFERROR(VLOOKUP(D51,Answer_Key!$D$5:$V$87,8,FALSE),""),F51,0),IF(E51="FILLUP",IF(OR(LOWER(TRIM(G51))=LOWER(TRIM(IFERROR(VLOOKUP(D51,Answer_Key!$D$5:$V$87,8,FALSE),""))),ISNUMBER(SEARCH(LOWER(TRIM(G51)),LOWER(IFERROR(VLOOKUP(D51,Answer_Key!$D$5:$V$87,9,FALSE),""))))),F51,0),""))</x:f>
      </x:c>
      <x:c r="K51" s="82"/>
      <x:c r="L51" s="82" t="str">
        <x:f>IF(K51&lt;&gt;"",K51,J51)</x:f>
      </x:c>
      <x:c r="M51" s="56" t="str">
        <x:f>IF(L51=F51,"Yes",IF(L51=0,"No","Partial"))</x:f>
        <x:v>Yes</x:v>
      </x:c>
      <x:c r="N51" s="56"/>
      <x:c r="O51" s="56"/>
      <x:c r="P51" s="56"/>
    </x:row>
    <x:row r="52">
      <x:c r="A52" s="56" t="n">
        <x:f>Student_Responses!A52</x:f>
        <x:v>0</x:v>
      </x:c>
      <x:c r="B52" s="56" t="n">
        <x:f>Student_Responses!B52</x:f>
        <x:v>0</x:v>
      </x:c>
      <x:c r="C52" s="56" t="n">
        <x:f>Student_Responses!C52</x:f>
        <x:v>0</x:v>
      </x:c>
      <x:c r="D52" s="56" t="n">
        <x:f>Student_Responses!G52</x:f>
        <x:v>0</x:v>
      </x:c>
      <x:c r="E52" s="56" t="n">
        <x:f>Student_Responses!H52</x:f>
        <x:v>0</x:v>
      </x:c>
      <x:c r="F52" s="82" t="str">
        <x:f>IFERROR(VLOOKUP(D52,Answer_Key!$D$5:$V$87,10,FALSE),"")</x:f>
      </x:c>
      <x:c r="G52" s="56" t="n">
        <x:f>Student_Responses!I52</x:f>
        <x:v>0</x:v>
      </x:c>
      <x:c r="H52" s="56" t="n">
        <x:f>Student_Responses!J52</x:f>
        <x:v>0</x:v>
      </x:c>
      <x:c r="I52" s="56" t="str">
        <x:f>IFERROR(VLOOKUP(D52,Answer_Key!$D$5:$V$87,8,FALSE),"")</x:f>
      </x:c>
      <x:c r="J52" s="82" t="str">
        <x:f>IF(E52="MCQ",IF(G52=IFERROR(VLOOKUP(D52,Answer_Key!$D$5:$V$87,8,FALSE),""),F52,0),IF(E52="FILLUP",IF(OR(LOWER(TRIM(G52))=LOWER(TRIM(IFERROR(VLOOKUP(D52,Answer_Key!$D$5:$V$87,8,FALSE),""))),ISNUMBER(SEARCH(LOWER(TRIM(G52)),LOWER(IFERROR(VLOOKUP(D52,Answer_Key!$D$5:$V$87,9,FALSE),""))))),F52,0),""))</x:f>
      </x:c>
      <x:c r="K52" s="82"/>
      <x:c r="L52" s="82" t="str">
        <x:f>IF(K52&lt;&gt;"",K52,J52)</x:f>
      </x:c>
      <x:c r="M52" s="56" t="str">
        <x:f>IF(L52=F52,"Yes",IF(L52=0,"No","Partial"))</x:f>
        <x:v>Yes</x:v>
      </x:c>
      <x:c r="N52" s="56"/>
      <x:c r="O52" s="56"/>
      <x:c r="P52" s="56"/>
    </x:row>
    <x:row r="53">
      <x:c r="A53" s="56" t="n">
        <x:f>Student_Responses!A53</x:f>
        <x:v>0</x:v>
      </x:c>
      <x:c r="B53" s="56" t="n">
        <x:f>Student_Responses!B53</x:f>
        <x:v>0</x:v>
      </x:c>
      <x:c r="C53" s="56" t="n">
        <x:f>Student_Responses!C53</x:f>
        <x:v>0</x:v>
      </x:c>
      <x:c r="D53" s="56" t="n">
        <x:f>Student_Responses!G53</x:f>
        <x:v>0</x:v>
      </x:c>
      <x:c r="E53" s="56" t="n">
        <x:f>Student_Responses!H53</x:f>
        <x:v>0</x:v>
      </x:c>
      <x:c r="F53" s="82" t="str">
        <x:f>IFERROR(VLOOKUP(D53,Answer_Key!$D$5:$V$87,10,FALSE),"")</x:f>
      </x:c>
      <x:c r="G53" s="56" t="n">
        <x:f>Student_Responses!I53</x:f>
        <x:v>0</x:v>
      </x:c>
      <x:c r="H53" s="56" t="n">
        <x:f>Student_Responses!J53</x:f>
        <x:v>0</x:v>
      </x:c>
      <x:c r="I53" s="56" t="str">
        <x:f>IFERROR(VLOOKUP(D53,Answer_Key!$D$5:$V$87,8,FALSE),"")</x:f>
      </x:c>
      <x:c r="J53" s="82" t="str">
        <x:f>IF(E53="MCQ",IF(G53=IFERROR(VLOOKUP(D53,Answer_Key!$D$5:$V$87,8,FALSE),""),F53,0),IF(E53="FILLUP",IF(OR(LOWER(TRIM(G53))=LOWER(TRIM(IFERROR(VLOOKUP(D53,Answer_Key!$D$5:$V$87,8,FALSE),""))),ISNUMBER(SEARCH(LOWER(TRIM(G53)),LOWER(IFERROR(VLOOKUP(D53,Answer_Key!$D$5:$V$87,9,FALSE),""))))),F53,0),""))</x:f>
      </x:c>
      <x:c r="K53" s="82"/>
      <x:c r="L53" s="82" t="str">
        <x:f>IF(K53&lt;&gt;"",K53,J53)</x:f>
      </x:c>
      <x:c r="M53" s="56" t="str">
        <x:f>IF(L53=F53,"Yes",IF(L53=0,"No","Partial"))</x:f>
        <x:v>Yes</x:v>
      </x:c>
      <x:c r="N53" s="56"/>
      <x:c r="O53" s="56"/>
      <x:c r="P53" s="56"/>
    </x:row>
    <x:row r="54">
      <x:c r="A54" s="56" t="n">
        <x:f>Student_Responses!A54</x:f>
        <x:v>0</x:v>
      </x:c>
      <x:c r="B54" s="56" t="n">
        <x:f>Student_Responses!B54</x:f>
        <x:v>0</x:v>
      </x:c>
      <x:c r="C54" s="56" t="n">
        <x:f>Student_Responses!C54</x:f>
        <x:v>0</x:v>
      </x:c>
      <x:c r="D54" s="56" t="n">
        <x:f>Student_Responses!G54</x:f>
        <x:v>0</x:v>
      </x:c>
      <x:c r="E54" s="56" t="n">
        <x:f>Student_Responses!H54</x:f>
        <x:v>0</x:v>
      </x:c>
      <x:c r="F54" s="82" t="str">
        <x:f>IFERROR(VLOOKUP(D54,Answer_Key!$D$5:$V$87,10,FALSE),"")</x:f>
      </x:c>
      <x:c r="G54" s="56" t="n">
        <x:f>Student_Responses!I54</x:f>
        <x:v>0</x:v>
      </x:c>
      <x:c r="H54" s="56" t="n">
        <x:f>Student_Responses!J54</x:f>
        <x:v>0</x:v>
      </x:c>
      <x:c r="I54" s="56" t="str">
        <x:f>IFERROR(VLOOKUP(D54,Answer_Key!$D$5:$V$87,8,FALSE),"")</x:f>
      </x:c>
      <x:c r="J54" s="82" t="str">
        <x:f>IF(E54="MCQ",IF(G54=IFERROR(VLOOKUP(D54,Answer_Key!$D$5:$V$87,8,FALSE),""),F54,0),IF(E54="FILLUP",IF(OR(LOWER(TRIM(G54))=LOWER(TRIM(IFERROR(VLOOKUP(D54,Answer_Key!$D$5:$V$87,8,FALSE),""))),ISNUMBER(SEARCH(LOWER(TRIM(G54)),LOWER(IFERROR(VLOOKUP(D54,Answer_Key!$D$5:$V$87,9,FALSE),""))))),F54,0),""))</x:f>
      </x:c>
      <x:c r="K54" s="82"/>
      <x:c r="L54" s="82" t="str">
        <x:f>IF(K54&lt;&gt;"",K54,J54)</x:f>
      </x:c>
      <x:c r="M54" s="56" t="str">
        <x:f>IF(L54=F54,"Yes",IF(L54=0,"No","Partial"))</x:f>
        <x:v>Yes</x:v>
      </x:c>
      <x:c r="N54" s="56"/>
      <x:c r="O54" s="56"/>
      <x:c r="P54" s="56"/>
    </x:row>
    <x:row r="55">
      <x:c r="A55" s="56" t="n">
        <x:f>Student_Responses!A55</x:f>
        <x:v>0</x:v>
      </x:c>
      <x:c r="B55" s="56" t="n">
        <x:f>Student_Responses!B55</x:f>
        <x:v>0</x:v>
      </x:c>
      <x:c r="C55" s="56" t="n">
        <x:f>Student_Responses!C55</x:f>
        <x:v>0</x:v>
      </x:c>
      <x:c r="D55" s="56" t="n">
        <x:f>Student_Responses!G55</x:f>
        <x:v>0</x:v>
      </x:c>
      <x:c r="E55" s="56" t="n">
        <x:f>Student_Responses!H55</x:f>
        <x:v>0</x:v>
      </x:c>
      <x:c r="F55" s="82" t="str">
        <x:f>IFERROR(VLOOKUP(D55,Answer_Key!$D$5:$V$87,10,FALSE),"")</x:f>
      </x:c>
      <x:c r="G55" s="56" t="n">
        <x:f>Student_Responses!I55</x:f>
        <x:v>0</x:v>
      </x:c>
      <x:c r="H55" s="56" t="n">
        <x:f>Student_Responses!J55</x:f>
        <x:v>0</x:v>
      </x:c>
      <x:c r="I55" s="56" t="str">
        <x:f>IFERROR(VLOOKUP(D55,Answer_Key!$D$5:$V$87,8,FALSE),"")</x:f>
      </x:c>
      <x:c r="J55" s="82" t="str">
        <x:f>IF(E55="MCQ",IF(G55=IFERROR(VLOOKUP(D55,Answer_Key!$D$5:$V$87,8,FALSE),""),F55,0),IF(E55="FILLUP",IF(OR(LOWER(TRIM(G55))=LOWER(TRIM(IFERROR(VLOOKUP(D55,Answer_Key!$D$5:$V$87,8,FALSE),""))),ISNUMBER(SEARCH(LOWER(TRIM(G55)),LOWER(IFERROR(VLOOKUP(D55,Answer_Key!$D$5:$V$87,9,FALSE),""))))),F55,0),""))</x:f>
      </x:c>
      <x:c r="K55" s="82"/>
      <x:c r="L55" s="82" t="str">
        <x:f>IF(K55&lt;&gt;"",K55,J55)</x:f>
      </x:c>
      <x:c r="M55" s="56" t="str">
        <x:f>IF(L55=F55,"Yes",IF(L55=0,"No","Partial"))</x:f>
        <x:v>Yes</x:v>
      </x:c>
      <x:c r="N55" s="56"/>
      <x:c r="O55" s="56"/>
      <x:c r="P55" s="56"/>
    </x:row>
    <x:row r="56">
      <x:c r="A56" s="56" t="n">
        <x:f>Student_Responses!A56</x:f>
        <x:v>0</x:v>
      </x:c>
      <x:c r="B56" s="56" t="n">
        <x:f>Student_Responses!B56</x:f>
        <x:v>0</x:v>
      </x:c>
      <x:c r="C56" s="56" t="n">
        <x:f>Student_Responses!C56</x:f>
        <x:v>0</x:v>
      </x:c>
      <x:c r="D56" s="56" t="n">
        <x:f>Student_Responses!G56</x:f>
        <x:v>0</x:v>
      </x:c>
      <x:c r="E56" s="56" t="n">
        <x:f>Student_Responses!H56</x:f>
        <x:v>0</x:v>
      </x:c>
      <x:c r="F56" s="82" t="str">
        <x:f>IFERROR(VLOOKUP(D56,Answer_Key!$D$5:$V$87,10,FALSE),"")</x:f>
      </x:c>
      <x:c r="G56" s="56" t="n">
        <x:f>Student_Responses!I56</x:f>
        <x:v>0</x:v>
      </x:c>
      <x:c r="H56" s="56" t="n">
        <x:f>Student_Responses!J56</x:f>
        <x:v>0</x:v>
      </x:c>
      <x:c r="I56" s="56" t="str">
        <x:f>IFERROR(VLOOKUP(D56,Answer_Key!$D$5:$V$87,8,FALSE),"")</x:f>
      </x:c>
      <x:c r="J56" s="82" t="str">
        <x:f>IF(E56="MCQ",IF(G56=IFERROR(VLOOKUP(D56,Answer_Key!$D$5:$V$87,8,FALSE),""),F56,0),IF(E56="FILLUP",IF(OR(LOWER(TRIM(G56))=LOWER(TRIM(IFERROR(VLOOKUP(D56,Answer_Key!$D$5:$V$87,8,FALSE),""))),ISNUMBER(SEARCH(LOWER(TRIM(G56)),LOWER(IFERROR(VLOOKUP(D56,Answer_Key!$D$5:$V$87,9,FALSE),""))))),F56,0),""))</x:f>
      </x:c>
      <x:c r="K56" s="82"/>
      <x:c r="L56" s="82" t="str">
        <x:f>IF(K56&lt;&gt;"",K56,J56)</x:f>
      </x:c>
      <x:c r="M56" s="56" t="str">
        <x:f>IF(L56=F56,"Yes",IF(L56=0,"No","Partial"))</x:f>
        <x:v>Yes</x:v>
      </x:c>
      <x:c r="N56" s="56"/>
      <x:c r="O56" s="56"/>
      <x:c r="P56" s="56"/>
    </x:row>
    <x:row r="57">
      <x:c r="A57" s="56" t="n">
        <x:f>Student_Responses!A57</x:f>
        <x:v>0</x:v>
      </x:c>
      <x:c r="B57" s="56" t="n">
        <x:f>Student_Responses!B57</x:f>
        <x:v>0</x:v>
      </x:c>
      <x:c r="C57" s="56" t="n">
        <x:f>Student_Responses!C57</x:f>
        <x:v>0</x:v>
      </x:c>
      <x:c r="D57" s="56" t="n">
        <x:f>Student_Responses!G57</x:f>
        <x:v>0</x:v>
      </x:c>
      <x:c r="E57" s="56" t="n">
        <x:f>Student_Responses!H57</x:f>
        <x:v>0</x:v>
      </x:c>
      <x:c r="F57" s="82" t="str">
        <x:f>IFERROR(VLOOKUP(D57,Answer_Key!$D$5:$V$87,10,FALSE),"")</x:f>
      </x:c>
      <x:c r="G57" s="56" t="n">
        <x:f>Student_Responses!I57</x:f>
        <x:v>0</x:v>
      </x:c>
      <x:c r="H57" s="56" t="n">
        <x:f>Student_Responses!J57</x:f>
        <x:v>0</x:v>
      </x:c>
      <x:c r="I57" s="56" t="str">
        <x:f>IFERROR(VLOOKUP(D57,Answer_Key!$D$5:$V$87,8,FALSE),"")</x:f>
      </x:c>
      <x:c r="J57" s="82" t="str">
        <x:f>IF(E57="MCQ",IF(G57=IFERROR(VLOOKUP(D57,Answer_Key!$D$5:$V$87,8,FALSE),""),F57,0),IF(E57="FILLUP",IF(OR(LOWER(TRIM(G57))=LOWER(TRIM(IFERROR(VLOOKUP(D57,Answer_Key!$D$5:$V$87,8,FALSE),""))),ISNUMBER(SEARCH(LOWER(TRIM(G57)),LOWER(IFERROR(VLOOKUP(D57,Answer_Key!$D$5:$V$87,9,FALSE),""))))),F57,0),""))</x:f>
      </x:c>
      <x:c r="K57" s="82"/>
      <x:c r="L57" s="82" t="str">
        <x:f>IF(K57&lt;&gt;"",K57,J57)</x:f>
      </x:c>
      <x:c r="M57" s="56" t="str">
        <x:f>IF(L57=F57,"Yes",IF(L57=0,"No","Partial"))</x:f>
        <x:v>Yes</x:v>
      </x:c>
      <x:c r="N57" s="56"/>
      <x:c r="O57" s="56"/>
      <x:c r="P57" s="56"/>
    </x:row>
    <x:row r="58">
      <x:c r="A58" s="56" t="n">
        <x:f>Student_Responses!A58</x:f>
        <x:v>0</x:v>
      </x:c>
      <x:c r="B58" s="56" t="n">
        <x:f>Student_Responses!B58</x:f>
        <x:v>0</x:v>
      </x:c>
      <x:c r="C58" s="56" t="n">
        <x:f>Student_Responses!C58</x:f>
        <x:v>0</x:v>
      </x:c>
      <x:c r="D58" s="56" t="n">
        <x:f>Student_Responses!G58</x:f>
        <x:v>0</x:v>
      </x:c>
      <x:c r="E58" s="56" t="n">
        <x:f>Student_Responses!H58</x:f>
        <x:v>0</x:v>
      </x:c>
      <x:c r="F58" s="82" t="str">
        <x:f>IFERROR(VLOOKUP(D58,Answer_Key!$D$5:$V$87,10,FALSE),"")</x:f>
      </x:c>
      <x:c r="G58" s="56" t="n">
        <x:f>Student_Responses!I58</x:f>
        <x:v>0</x:v>
      </x:c>
      <x:c r="H58" s="56" t="n">
        <x:f>Student_Responses!J58</x:f>
        <x:v>0</x:v>
      </x:c>
      <x:c r="I58" s="56" t="str">
        <x:f>IFERROR(VLOOKUP(D58,Answer_Key!$D$5:$V$87,8,FALSE),"")</x:f>
      </x:c>
      <x:c r="J58" s="82" t="str">
        <x:f>IF(E58="MCQ",IF(G58=IFERROR(VLOOKUP(D58,Answer_Key!$D$5:$V$87,8,FALSE),""),F58,0),IF(E58="FILLUP",IF(OR(LOWER(TRIM(G58))=LOWER(TRIM(IFERROR(VLOOKUP(D58,Answer_Key!$D$5:$V$87,8,FALSE),""))),ISNUMBER(SEARCH(LOWER(TRIM(G58)),LOWER(IFERROR(VLOOKUP(D58,Answer_Key!$D$5:$V$87,9,FALSE),""))))),F58,0),""))</x:f>
      </x:c>
      <x:c r="K58" s="82"/>
      <x:c r="L58" s="82" t="str">
        <x:f>IF(K58&lt;&gt;"",K58,J58)</x:f>
      </x:c>
      <x:c r="M58" s="56" t="str">
        <x:f>IF(L58=F58,"Yes",IF(L58=0,"No","Partial"))</x:f>
        <x:v>Yes</x:v>
      </x:c>
      <x:c r="N58" s="56"/>
      <x:c r="O58" s="56"/>
      <x:c r="P58" s="56"/>
    </x:row>
    <x:row r="59">
      <x:c r="A59" s="56" t="n">
        <x:f>Student_Responses!A59</x:f>
        <x:v>0</x:v>
      </x:c>
      <x:c r="B59" s="56" t="n">
        <x:f>Student_Responses!B59</x:f>
        <x:v>0</x:v>
      </x:c>
      <x:c r="C59" s="56" t="n">
        <x:f>Student_Responses!C59</x:f>
        <x:v>0</x:v>
      </x:c>
      <x:c r="D59" s="56" t="n">
        <x:f>Student_Responses!G59</x:f>
        <x:v>0</x:v>
      </x:c>
      <x:c r="E59" s="56" t="n">
        <x:f>Student_Responses!H59</x:f>
        <x:v>0</x:v>
      </x:c>
      <x:c r="F59" s="82" t="str">
        <x:f>IFERROR(VLOOKUP(D59,Answer_Key!$D$5:$V$87,10,FALSE),"")</x:f>
      </x:c>
      <x:c r="G59" s="56" t="n">
        <x:f>Student_Responses!I59</x:f>
        <x:v>0</x:v>
      </x:c>
      <x:c r="H59" s="56" t="n">
        <x:f>Student_Responses!J59</x:f>
        <x:v>0</x:v>
      </x:c>
      <x:c r="I59" s="56" t="str">
        <x:f>IFERROR(VLOOKUP(D59,Answer_Key!$D$5:$V$87,8,FALSE),"")</x:f>
      </x:c>
      <x:c r="J59" s="82" t="str">
        <x:f>IF(E59="MCQ",IF(G59=IFERROR(VLOOKUP(D59,Answer_Key!$D$5:$V$87,8,FALSE),""),F59,0),IF(E59="FILLUP",IF(OR(LOWER(TRIM(G59))=LOWER(TRIM(IFERROR(VLOOKUP(D59,Answer_Key!$D$5:$V$87,8,FALSE),""))),ISNUMBER(SEARCH(LOWER(TRIM(G59)),LOWER(IFERROR(VLOOKUP(D59,Answer_Key!$D$5:$V$87,9,FALSE),""))))),F59,0),""))</x:f>
      </x:c>
      <x:c r="K59" s="82"/>
      <x:c r="L59" s="82" t="str">
        <x:f>IF(K59&lt;&gt;"",K59,J59)</x:f>
      </x:c>
      <x:c r="M59" s="56" t="str">
        <x:f>IF(L59=F59,"Yes",IF(L59=0,"No","Partial"))</x:f>
        <x:v>Yes</x:v>
      </x:c>
      <x:c r="N59" s="56"/>
      <x:c r="O59" s="56"/>
      <x:c r="P59" s="56"/>
    </x:row>
    <x:row r="60">
      <x:c r="A60" s="56" t="n">
        <x:f>Student_Responses!A60</x:f>
        <x:v>0</x:v>
      </x:c>
      <x:c r="B60" s="56" t="n">
        <x:f>Student_Responses!B60</x:f>
        <x:v>0</x:v>
      </x:c>
      <x:c r="C60" s="56" t="n">
        <x:f>Student_Responses!C60</x:f>
        <x:v>0</x:v>
      </x:c>
      <x:c r="D60" s="56" t="n">
        <x:f>Student_Responses!G60</x:f>
        <x:v>0</x:v>
      </x:c>
      <x:c r="E60" s="56" t="n">
        <x:f>Student_Responses!H60</x:f>
        <x:v>0</x:v>
      </x:c>
      <x:c r="F60" s="82" t="str">
        <x:f>IFERROR(VLOOKUP(D60,Answer_Key!$D$5:$V$87,10,FALSE),"")</x:f>
      </x:c>
      <x:c r="G60" s="56" t="n">
        <x:f>Student_Responses!I60</x:f>
        <x:v>0</x:v>
      </x:c>
      <x:c r="H60" s="56" t="n">
        <x:f>Student_Responses!J60</x:f>
        <x:v>0</x:v>
      </x:c>
      <x:c r="I60" s="56" t="str">
        <x:f>IFERROR(VLOOKUP(D60,Answer_Key!$D$5:$V$87,8,FALSE),"")</x:f>
      </x:c>
      <x:c r="J60" s="82" t="str">
        <x:f>IF(E60="MCQ",IF(G60=IFERROR(VLOOKUP(D60,Answer_Key!$D$5:$V$87,8,FALSE),""),F60,0),IF(E60="FILLUP",IF(OR(LOWER(TRIM(G60))=LOWER(TRIM(IFERROR(VLOOKUP(D60,Answer_Key!$D$5:$V$87,8,FALSE),""))),ISNUMBER(SEARCH(LOWER(TRIM(G60)),LOWER(IFERROR(VLOOKUP(D60,Answer_Key!$D$5:$V$87,9,FALSE),""))))),F60,0),""))</x:f>
      </x:c>
      <x:c r="K60" s="82"/>
      <x:c r="L60" s="82" t="str">
        <x:f>IF(K60&lt;&gt;"",K60,J60)</x:f>
      </x:c>
      <x:c r="M60" s="56" t="str">
        <x:f>IF(L60=F60,"Yes",IF(L60=0,"No","Partial"))</x:f>
        <x:v>Yes</x:v>
      </x:c>
      <x:c r="N60" s="56"/>
      <x:c r="O60" s="56"/>
      <x:c r="P60" s="56"/>
    </x:row>
    <x:row r="61">
      <x:c r="A61" s="56" t="n">
        <x:f>Student_Responses!A61</x:f>
        <x:v>0</x:v>
      </x:c>
      <x:c r="B61" s="56" t="n">
        <x:f>Student_Responses!B61</x:f>
        <x:v>0</x:v>
      </x:c>
      <x:c r="C61" s="56" t="n">
        <x:f>Student_Responses!C61</x:f>
        <x:v>0</x:v>
      </x:c>
      <x:c r="D61" s="56" t="n">
        <x:f>Student_Responses!G61</x:f>
        <x:v>0</x:v>
      </x:c>
      <x:c r="E61" s="56" t="n">
        <x:f>Student_Responses!H61</x:f>
        <x:v>0</x:v>
      </x:c>
      <x:c r="F61" s="82" t="str">
        <x:f>IFERROR(VLOOKUP(D61,Answer_Key!$D$5:$V$87,10,FALSE),"")</x:f>
      </x:c>
      <x:c r="G61" s="56" t="n">
        <x:f>Student_Responses!I61</x:f>
        <x:v>0</x:v>
      </x:c>
      <x:c r="H61" s="56" t="n">
        <x:f>Student_Responses!J61</x:f>
        <x:v>0</x:v>
      </x:c>
      <x:c r="I61" s="56" t="str">
        <x:f>IFERROR(VLOOKUP(D61,Answer_Key!$D$5:$V$87,8,FALSE),"")</x:f>
      </x:c>
      <x:c r="J61" s="82" t="str">
        <x:f>IF(E61="MCQ",IF(G61=IFERROR(VLOOKUP(D61,Answer_Key!$D$5:$V$87,8,FALSE),""),F61,0),IF(E61="FILLUP",IF(OR(LOWER(TRIM(G61))=LOWER(TRIM(IFERROR(VLOOKUP(D61,Answer_Key!$D$5:$V$87,8,FALSE),""))),ISNUMBER(SEARCH(LOWER(TRIM(G61)),LOWER(IFERROR(VLOOKUP(D61,Answer_Key!$D$5:$V$87,9,FALSE),""))))),F61,0),""))</x:f>
      </x:c>
      <x:c r="K61" s="82"/>
      <x:c r="L61" s="82" t="str">
        <x:f>IF(K61&lt;&gt;"",K61,J61)</x:f>
      </x:c>
      <x:c r="M61" s="56" t="str">
        <x:f>IF(L61=F61,"Yes",IF(L61=0,"No","Partial"))</x:f>
        <x:v>Yes</x:v>
      </x:c>
      <x:c r="N61" s="56"/>
      <x:c r="O61" s="56"/>
      <x:c r="P61" s="56"/>
    </x:row>
    <x:row r="62">
      <x:c r="A62" s="56" t="n">
        <x:f>Student_Responses!A62</x:f>
        <x:v>0</x:v>
      </x:c>
      <x:c r="B62" s="56" t="n">
        <x:f>Student_Responses!B62</x:f>
        <x:v>0</x:v>
      </x:c>
      <x:c r="C62" s="56" t="n">
        <x:f>Student_Responses!C62</x:f>
        <x:v>0</x:v>
      </x:c>
      <x:c r="D62" s="56" t="n">
        <x:f>Student_Responses!G62</x:f>
        <x:v>0</x:v>
      </x:c>
      <x:c r="E62" s="56" t="n">
        <x:f>Student_Responses!H62</x:f>
        <x:v>0</x:v>
      </x:c>
      <x:c r="F62" s="82" t="str">
        <x:f>IFERROR(VLOOKUP(D62,Answer_Key!$D$5:$V$87,10,FALSE),"")</x:f>
      </x:c>
      <x:c r="G62" s="56" t="n">
        <x:f>Student_Responses!I62</x:f>
        <x:v>0</x:v>
      </x:c>
      <x:c r="H62" s="56" t="n">
        <x:f>Student_Responses!J62</x:f>
        <x:v>0</x:v>
      </x:c>
      <x:c r="I62" s="56" t="str">
        <x:f>IFERROR(VLOOKUP(D62,Answer_Key!$D$5:$V$87,8,FALSE),"")</x:f>
      </x:c>
      <x:c r="J62" s="82" t="str">
        <x:f>IF(E62="MCQ",IF(G62=IFERROR(VLOOKUP(D62,Answer_Key!$D$5:$V$87,8,FALSE),""),F62,0),IF(E62="FILLUP",IF(OR(LOWER(TRIM(G62))=LOWER(TRIM(IFERROR(VLOOKUP(D62,Answer_Key!$D$5:$V$87,8,FALSE),""))),ISNUMBER(SEARCH(LOWER(TRIM(G62)),LOWER(IFERROR(VLOOKUP(D62,Answer_Key!$D$5:$V$87,9,FALSE),""))))),F62,0),""))</x:f>
      </x:c>
      <x:c r="K62" s="82"/>
      <x:c r="L62" s="82" t="str">
        <x:f>IF(K62&lt;&gt;"",K62,J62)</x:f>
      </x:c>
      <x:c r="M62" s="56" t="str">
        <x:f>IF(L62=F62,"Yes",IF(L62=0,"No","Partial"))</x:f>
        <x:v>Yes</x:v>
      </x:c>
      <x:c r="N62" s="56"/>
      <x:c r="O62" s="56"/>
      <x:c r="P62" s="56"/>
    </x:row>
    <x:row r="63">
      <x:c r="A63" s="56" t="n">
        <x:f>Student_Responses!A63</x:f>
        <x:v>0</x:v>
      </x:c>
      <x:c r="B63" s="56" t="n">
        <x:f>Student_Responses!B63</x:f>
        <x:v>0</x:v>
      </x:c>
      <x:c r="C63" s="56" t="n">
        <x:f>Student_Responses!C63</x:f>
        <x:v>0</x:v>
      </x:c>
      <x:c r="D63" s="56" t="n">
        <x:f>Student_Responses!G63</x:f>
        <x:v>0</x:v>
      </x:c>
      <x:c r="E63" s="56" t="n">
        <x:f>Student_Responses!H63</x:f>
        <x:v>0</x:v>
      </x:c>
      <x:c r="F63" s="82" t="str">
        <x:f>IFERROR(VLOOKUP(D63,Answer_Key!$D$5:$V$87,10,FALSE),"")</x:f>
      </x:c>
      <x:c r="G63" s="56" t="n">
        <x:f>Student_Responses!I63</x:f>
        <x:v>0</x:v>
      </x:c>
      <x:c r="H63" s="56" t="n">
        <x:f>Student_Responses!J63</x:f>
        <x:v>0</x:v>
      </x:c>
      <x:c r="I63" s="56" t="str">
        <x:f>IFERROR(VLOOKUP(D63,Answer_Key!$D$5:$V$87,8,FALSE),"")</x:f>
      </x:c>
      <x:c r="J63" s="82" t="str">
        <x:f>IF(E63="MCQ",IF(G63=IFERROR(VLOOKUP(D63,Answer_Key!$D$5:$V$87,8,FALSE),""),F63,0),IF(E63="FILLUP",IF(OR(LOWER(TRIM(G63))=LOWER(TRIM(IFERROR(VLOOKUP(D63,Answer_Key!$D$5:$V$87,8,FALSE),""))),ISNUMBER(SEARCH(LOWER(TRIM(G63)),LOWER(IFERROR(VLOOKUP(D63,Answer_Key!$D$5:$V$87,9,FALSE),""))))),F63,0),""))</x:f>
      </x:c>
      <x:c r="K63" s="82"/>
      <x:c r="L63" s="82" t="str">
        <x:f>IF(K63&lt;&gt;"",K63,J63)</x:f>
      </x:c>
      <x:c r="M63" s="56" t="str">
        <x:f>IF(L63=F63,"Yes",IF(L63=0,"No","Partial"))</x:f>
        <x:v>Yes</x:v>
      </x:c>
      <x:c r="N63" s="56"/>
      <x:c r="O63" s="56"/>
      <x:c r="P63" s="56"/>
    </x:row>
    <x:row r="64">
      <x:c r="A64" s="56" t="n">
        <x:f>Student_Responses!A64</x:f>
        <x:v>0</x:v>
      </x:c>
      <x:c r="B64" s="56" t="n">
        <x:f>Student_Responses!B64</x:f>
        <x:v>0</x:v>
      </x:c>
      <x:c r="C64" s="56" t="n">
        <x:f>Student_Responses!C64</x:f>
        <x:v>0</x:v>
      </x:c>
      <x:c r="D64" s="56" t="n">
        <x:f>Student_Responses!G64</x:f>
        <x:v>0</x:v>
      </x:c>
      <x:c r="E64" s="56" t="n">
        <x:f>Student_Responses!H64</x:f>
        <x:v>0</x:v>
      </x:c>
      <x:c r="F64" s="82" t="str">
        <x:f>IFERROR(VLOOKUP(D64,Answer_Key!$D$5:$V$87,10,FALSE),"")</x:f>
      </x:c>
      <x:c r="G64" s="56" t="n">
        <x:f>Student_Responses!I64</x:f>
        <x:v>0</x:v>
      </x:c>
      <x:c r="H64" s="56" t="n">
        <x:f>Student_Responses!J64</x:f>
        <x:v>0</x:v>
      </x:c>
      <x:c r="I64" s="56" t="str">
        <x:f>IFERROR(VLOOKUP(D64,Answer_Key!$D$5:$V$87,8,FALSE),"")</x:f>
      </x:c>
      <x:c r="J64" s="82" t="str">
        <x:f>IF(E64="MCQ",IF(G64=IFERROR(VLOOKUP(D64,Answer_Key!$D$5:$V$87,8,FALSE),""),F64,0),IF(E64="FILLUP",IF(OR(LOWER(TRIM(G64))=LOWER(TRIM(IFERROR(VLOOKUP(D64,Answer_Key!$D$5:$V$87,8,FALSE),""))),ISNUMBER(SEARCH(LOWER(TRIM(G64)),LOWER(IFERROR(VLOOKUP(D64,Answer_Key!$D$5:$V$87,9,FALSE),""))))),F64,0),""))</x:f>
      </x:c>
      <x:c r="K64" s="82"/>
      <x:c r="L64" s="82" t="str">
        <x:f>IF(K64&lt;&gt;"",K64,J64)</x:f>
      </x:c>
      <x:c r="M64" s="56" t="str">
        <x:f>IF(L64=F64,"Yes",IF(L64=0,"No","Partial"))</x:f>
        <x:v>Yes</x:v>
      </x:c>
      <x:c r="N64" s="56"/>
      <x:c r="O64" s="56"/>
      <x:c r="P64" s="56"/>
    </x:row>
    <x:row r="65">
      <x:c r="A65" s="56" t="n">
        <x:f>Student_Responses!A65</x:f>
        <x:v>0</x:v>
      </x:c>
      <x:c r="B65" s="56" t="n">
        <x:f>Student_Responses!B65</x:f>
        <x:v>0</x:v>
      </x:c>
      <x:c r="C65" s="56" t="n">
        <x:f>Student_Responses!C65</x:f>
        <x:v>0</x:v>
      </x:c>
      <x:c r="D65" s="56" t="n">
        <x:f>Student_Responses!G65</x:f>
        <x:v>0</x:v>
      </x:c>
      <x:c r="E65" s="56" t="n">
        <x:f>Student_Responses!H65</x:f>
        <x:v>0</x:v>
      </x:c>
      <x:c r="F65" s="82" t="str">
        <x:f>IFERROR(VLOOKUP(D65,Answer_Key!$D$5:$V$87,10,FALSE),"")</x:f>
      </x:c>
      <x:c r="G65" s="56" t="n">
        <x:f>Student_Responses!I65</x:f>
        <x:v>0</x:v>
      </x:c>
      <x:c r="H65" s="56" t="n">
        <x:f>Student_Responses!J65</x:f>
        <x:v>0</x:v>
      </x:c>
      <x:c r="I65" s="56" t="str">
        <x:f>IFERROR(VLOOKUP(D65,Answer_Key!$D$5:$V$87,8,FALSE),"")</x:f>
      </x:c>
      <x:c r="J65" s="82" t="str">
        <x:f>IF(E65="MCQ",IF(G65=IFERROR(VLOOKUP(D65,Answer_Key!$D$5:$V$87,8,FALSE),""),F65,0),IF(E65="FILLUP",IF(OR(LOWER(TRIM(G65))=LOWER(TRIM(IFERROR(VLOOKUP(D65,Answer_Key!$D$5:$V$87,8,FALSE),""))),ISNUMBER(SEARCH(LOWER(TRIM(G65)),LOWER(IFERROR(VLOOKUP(D65,Answer_Key!$D$5:$V$87,9,FALSE),""))))),F65,0),""))</x:f>
      </x:c>
      <x:c r="K65" s="82"/>
      <x:c r="L65" s="82" t="str">
        <x:f>IF(K65&lt;&gt;"",K65,J65)</x:f>
      </x:c>
      <x:c r="M65" s="56" t="str">
        <x:f>IF(L65=F65,"Yes",IF(L65=0,"No","Partial"))</x:f>
        <x:v>Yes</x:v>
      </x:c>
      <x:c r="N65" s="56"/>
      <x:c r="O65" s="56"/>
      <x:c r="P65" s="56"/>
    </x:row>
    <x:row r="66">
      <x:c r="A66" s="56" t="n">
        <x:f>Student_Responses!A66</x:f>
        <x:v>0</x:v>
      </x:c>
      <x:c r="B66" s="56" t="n">
        <x:f>Student_Responses!B66</x:f>
        <x:v>0</x:v>
      </x:c>
      <x:c r="C66" s="56" t="n">
        <x:f>Student_Responses!C66</x:f>
        <x:v>0</x:v>
      </x:c>
      <x:c r="D66" s="56" t="n">
        <x:f>Student_Responses!G66</x:f>
        <x:v>0</x:v>
      </x:c>
      <x:c r="E66" s="56" t="n">
        <x:f>Student_Responses!H66</x:f>
        <x:v>0</x:v>
      </x:c>
      <x:c r="F66" s="82" t="str">
        <x:f>IFERROR(VLOOKUP(D66,Answer_Key!$D$5:$V$87,10,FALSE),"")</x:f>
      </x:c>
      <x:c r="G66" s="56" t="n">
        <x:f>Student_Responses!I66</x:f>
        <x:v>0</x:v>
      </x:c>
      <x:c r="H66" s="56" t="n">
        <x:f>Student_Responses!J66</x:f>
        <x:v>0</x:v>
      </x:c>
      <x:c r="I66" s="56" t="str">
        <x:f>IFERROR(VLOOKUP(D66,Answer_Key!$D$5:$V$87,8,FALSE),"")</x:f>
      </x:c>
      <x:c r="J66" s="82" t="str">
        <x:f>IF(E66="MCQ",IF(G66=IFERROR(VLOOKUP(D66,Answer_Key!$D$5:$V$87,8,FALSE),""),F66,0),IF(E66="FILLUP",IF(OR(LOWER(TRIM(G66))=LOWER(TRIM(IFERROR(VLOOKUP(D66,Answer_Key!$D$5:$V$87,8,FALSE),""))),ISNUMBER(SEARCH(LOWER(TRIM(G66)),LOWER(IFERROR(VLOOKUP(D66,Answer_Key!$D$5:$V$87,9,FALSE),""))))),F66,0),""))</x:f>
      </x:c>
      <x:c r="K66" s="82"/>
      <x:c r="L66" s="82" t="str">
        <x:f>IF(K66&lt;&gt;"",K66,J66)</x:f>
      </x:c>
      <x:c r="M66" s="56" t="str">
        <x:f>IF(L66=F66,"Yes",IF(L66=0,"No","Partial"))</x:f>
        <x:v>Yes</x:v>
      </x:c>
      <x:c r="N66" s="56"/>
      <x:c r="O66" s="56"/>
      <x:c r="P66" s="56"/>
    </x:row>
    <x:row r="67">
      <x:c r="A67" s="56" t="n">
        <x:f>Student_Responses!A67</x:f>
        <x:v>0</x:v>
      </x:c>
      <x:c r="B67" s="56" t="n">
        <x:f>Student_Responses!B67</x:f>
        <x:v>0</x:v>
      </x:c>
      <x:c r="C67" s="56" t="n">
        <x:f>Student_Responses!C67</x:f>
        <x:v>0</x:v>
      </x:c>
      <x:c r="D67" s="56" t="n">
        <x:f>Student_Responses!G67</x:f>
        <x:v>0</x:v>
      </x:c>
      <x:c r="E67" s="56" t="n">
        <x:f>Student_Responses!H67</x:f>
        <x:v>0</x:v>
      </x:c>
      <x:c r="F67" s="82" t="str">
        <x:f>IFERROR(VLOOKUP(D67,Answer_Key!$D$5:$V$87,10,FALSE),"")</x:f>
      </x:c>
      <x:c r="G67" s="56" t="n">
        <x:f>Student_Responses!I67</x:f>
        <x:v>0</x:v>
      </x:c>
      <x:c r="H67" s="56" t="n">
        <x:f>Student_Responses!J67</x:f>
        <x:v>0</x:v>
      </x:c>
      <x:c r="I67" s="56" t="str">
        <x:f>IFERROR(VLOOKUP(D67,Answer_Key!$D$5:$V$87,8,FALSE),"")</x:f>
      </x:c>
      <x:c r="J67" s="82" t="str">
        <x:f>IF(E67="MCQ",IF(G67=IFERROR(VLOOKUP(D67,Answer_Key!$D$5:$V$87,8,FALSE),""),F67,0),IF(E67="FILLUP",IF(OR(LOWER(TRIM(G67))=LOWER(TRIM(IFERROR(VLOOKUP(D67,Answer_Key!$D$5:$V$87,8,FALSE),""))),ISNUMBER(SEARCH(LOWER(TRIM(G67)),LOWER(IFERROR(VLOOKUP(D67,Answer_Key!$D$5:$V$87,9,FALSE),""))))),F67,0),""))</x:f>
      </x:c>
      <x:c r="K67" s="82"/>
      <x:c r="L67" s="82" t="str">
        <x:f>IF(K67&lt;&gt;"",K67,J67)</x:f>
      </x:c>
      <x:c r="M67" s="56" t="str">
        <x:f>IF(L67=F67,"Yes",IF(L67=0,"No","Partial"))</x:f>
        <x:v>Yes</x:v>
      </x:c>
      <x:c r="N67" s="56"/>
      <x:c r="O67" s="56"/>
      <x:c r="P67" s="56"/>
    </x:row>
    <x:row r="68">
      <x:c r="A68" s="56" t="n">
        <x:f>Student_Responses!A68</x:f>
        <x:v>0</x:v>
      </x:c>
      <x:c r="B68" s="56" t="n">
        <x:f>Student_Responses!B68</x:f>
        <x:v>0</x:v>
      </x:c>
      <x:c r="C68" s="56" t="n">
        <x:f>Student_Responses!C68</x:f>
        <x:v>0</x:v>
      </x:c>
      <x:c r="D68" s="56" t="n">
        <x:f>Student_Responses!G68</x:f>
        <x:v>0</x:v>
      </x:c>
      <x:c r="E68" s="56" t="n">
        <x:f>Student_Responses!H68</x:f>
        <x:v>0</x:v>
      </x:c>
      <x:c r="F68" s="82" t="str">
        <x:f>IFERROR(VLOOKUP(D68,Answer_Key!$D$5:$V$87,10,FALSE),"")</x:f>
      </x:c>
      <x:c r="G68" s="56" t="n">
        <x:f>Student_Responses!I68</x:f>
        <x:v>0</x:v>
      </x:c>
      <x:c r="H68" s="56" t="n">
        <x:f>Student_Responses!J68</x:f>
        <x:v>0</x:v>
      </x:c>
      <x:c r="I68" s="56" t="str">
        <x:f>IFERROR(VLOOKUP(D68,Answer_Key!$D$5:$V$87,8,FALSE),"")</x:f>
      </x:c>
      <x:c r="J68" s="82" t="str">
        <x:f>IF(E68="MCQ",IF(G68=IFERROR(VLOOKUP(D68,Answer_Key!$D$5:$V$87,8,FALSE),""),F68,0),IF(E68="FILLUP",IF(OR(LOWER(TRIM(G68))=LOWER(TRIM(IFERROR(VLOOKUP(D68,Answer_Key!$D$5:$V$87,8,FALSE),""))),ISNUMBER(SEARCH(LOWER(TRIM(G68)),LOWER(IFERROR(VLOOKUP(D68,Answer_Key!$D$5:$V$87,9,FALSE),""))))),F68,0),""))</x:f>
      </x:c>
      <x:c r="K68" s="82"/>
      <x:c r="L68" s="82" t="str">
        <x:f>IF(K68&lt;&gt;"",K68,J68)</x:f>
      </x:c>
      <x:c r="M68" s="56" t="str">
        <x:f>IF(L68=F68,"Yes",IF(L68=0,"No","Partial"))</x:f>
        <x:v>Yes</x:v>
      </x:c>
      <x:c r="N68" s="56"/>
      <x:c r="O68" s="56"/>
      <x:c r="P68" s="56"/>
    </x:row>
    <x:row r="69">
      <x:c r="A69" s="56" t="n">
        <x:f>Student_Responses!A69</x:f>
        <x:v>0</x:v>
      </x:c>
      <x:c r="B69" s="56" t="n">
        <x:f>Student_Responses!B69</x:f>
        <x:v>0</x:v>
      </x:c>
      <x:c r="C69" s="56" t="n">
        <x:f>Student_Responses!C69</x:f>
        <x:v>0</x:v>
      </x:c>
      <x:c r="D69" s="56" t="n">
        <x:f>Student_Responses!G69</x:f>
        <x:v>0</x:v>
      </x:c>
      <x:c r="E69" s="56" t="n">
        <x:f>Student_Responses!H69</x:f>
        <x:v>0</x:v>
      </x:c>
      <x:c r="F69" s="82" t="str">
        <x:f>IFERROR(VLOOKUP(D69,Answer_Key!$D$5:$V$87,10,FALSE),"")</x:f>
      </x:c>
      <x:c r="G69" s="56" t="n">
        <x:f>Student_Responses!I69</x:f>
        <x:v>0</x:v>
      </x:c>
      <x:c r="H69" s="56" t="n">
        <x:f>Student_Responses!J69</x:f>
        <x:v>0</x:v>
      </x:c>
      <x:c r="I69" s="56" t="str">
        <x:f>IFERROR(VLOOKUP(D69,Answer_Key!$D$5:$V$87,8,FALSE),"")</x:f>
      </x:c>
      <x:c r="J69" s="82" t="str">
        <x:f>IF(E69="MCQ",IF(G69=IFERROR(VLOOKUP(D69,Answer_Key!$D$5:$V$87,8,FALSE),""),F69,0),IF(E69="FILLUP",IF(OR(LOWER(TRIM(G69))=LOWER(TRIM(IFERROR(VLOOKUP(D69,Answer_Key!$D$5:$V$87,8,FALSE),""))),ISNUMBER(SEARCH(LOWER(TRIM(G69)),LOWER(IFERROR(VLOOKUP(D69,Answer_Key!$D$5:$V$87,9,FALSE),""))))),F69,0),""))</x:f>
      </x:c>
      <x:c r="K69" s="82"/>
      <x:c r="L69" s="82" t="str">
        <x:f>IF(K69&lt;&gt;"",K69,J69)</x:f>
      </x:c>
      <x:c r="M69" s="56" t="str">
        <x:f>IF(L69=F69,"Yes",IF(L69=0,"No","Partial"))</x:f>
        <x:v>Yes</x:v>
      </x:c>
      <x:c r="N69" s="56"/>
      <x:c r="O69" s="56"/>
      <x:c r="P69" s="56"/>
    </x:row>
    <x:row r="70">
      <x:c r="A70" s="56" t="n">
        <x:f>Student_Responses!A70</x:f>
        <x:v>0</x:v>
      </x:c>
      <x:c r="B70" s="56" t="n">
        <x:f>Student_Responses!B70</x:f>
        <x:v>0</x:v>
      </x:c>
      <x:c r="C70" s="56" t="n">
        <x:f>Student_Responses!C70</x:f>
        <x:v>0</x:v>
      </x:c>
      <x:c r="D70" s="56" t="n">
        <x:f>Student_Responses!G70</x:f>
        <x:v>0</x:v>
      </x:c>
      <x:c r="E70" s="56" t="n">
        <x:f>Student_Responses!H70</x:f>
        <x:v>0</x:v>
      </x:c>
      <x:c r="F70" s="82" t="str">
        <x:f>IFERROR(VLOOKUP(D70,Answer_Key!$D$5:$V$87,10,FALSE),"")</x:f>
      </x:c>
      <x:c r="G70" s="56" t="n">
        <x:f>Student_Responses!I70</x:f>
        <x:v>0</x:v>
      </x:c>
      <x:c r="H70" s="56" t="n">
        <x:f>Student_Responses!J70</x:f>
        <x:v>0</x:v>
      </x:c>
      <x:c r="I70" s="56" t="str">
        <x:f>IFERROR(VLOOKUP(D70,Answer_Key!$D$5:$V$87,8,FALSE),"")</x:f>
      </x:c>
      <x:c r="J70" s="82" t="str">
        <x:f>IF(E70="MCQ",IF(G70=IFERROR(VLOOKUP(D70,Answer_Key!$D$5:$V$87,8,FALSE),""),F70,0),IF(E70="FILLUP",IF(OR(LOWER(TRIM(G70))=LOWER(TRIM(IFERROR(VLOOKUP(D70,Answer_Key!$D$5:$V$87,8,FALSE),""))),ISNUMBER(SEARCH(LOWER(TRIM(G70)),LOWER(IFERROR(VLOOKUP(D70,Answer_Key!$D$5:$V$87,9,FALSE),""))))),F70,0),""))</x:f>
      </x:c>
      <x:c r="K70" s="82"/>
      <x:c r="L70" s="82" t="str">
        <x:f>IF(K70&lt;&gt;"",K70,J70)</x:f>
      </x:c>
      <x:c r="M70" s="56" t="str">
        <x:f>IF(L70=F70,"Yes",IF(L70=0,"No","Partial"))</x:f>
        <x:v>Yes</x:v>
      </x:c>
      <x:c r="N70" s="56"/>
      <x:c r="O70" s="56"/>
      <x:c r="P70" s="56"/>
    </x:row>
    <x:row r="71">
      <x:c r="A71" s="56" t="n">
        <x:f>Student_Responses!A71</x:f>
        <x:v>0</x:v>
      </x:c>
      <x:c r="B71" s="56" t="n">
        <x:f>Student_Responses!B71</x:f>
        <x:v>0</x:v>
      </x:c>
      <x:c r="C71" s="56" t="n">
        <x:f>Student_Responses!C71</x:f>
        <x:v>0</x:v>
      </x:c>
      <x:c r="D71" s="56" t="n">
        <x:f>Student_Responses!G71</x:f>
        <x:v>0</x:v>
      </x:c>
      <x:c r="E71" s="56" t="n">
        <x:f>Student_Responses!H71</x:f>
        <x:v>0</x:v>
      </x:c>
      <x:c r="F71" s="82" t="str">
        <x:f>IFERROR(VLOOKUP(D71,Answer_Key!$D$5:$V$87,10,FALSE),"")</x:f>
      </x:c>
      <x:c r="G71" s="56" t="n">
        <x:f>Student_Responses!I71</x:f>
        <x:v>0</x:v>
      </x:c>
      <x:c r="H71" s="56" t="n">
        <x:f>Student_Responses!J71</x:f>
        <x:v>0</x:v>
      </x:c>
      <x:c r="I71" s="56" t="str">
        <x:f>IFERROR(VLOOKUP(D71,Answer_Key!$D$5:$V$87,8,FALSE),"")</x:f>
      </x:c>
      <x:c r="J71" s="82" t="str">
        <x:f>IF(E71="MCQ",IF(G71=IFERROR(VLOOKUP(D71,Answer_Key!$D$5:$V$87,8,FALSE),""),F71,0),IF(E71="FILLUP",IF(OR(LOWER(TRIM(G71))=LOWER(TRIM(IFERROR(VLOOKUP(D71,Answer_Key!$D$5:$V$87,8,FALSE),""))),ISNUMBER(SEARCH(LOWER(TRIM(G71)),LOWER(IFERROR(VLOOKUP(D71,Answer_Key!$D$5:$V$87,9,FALSE),""))))),F71,0),""))</x:f>
      </x:c>
      <x:c r="K71" s="82"/>
      <x:c r="L71" s="82" t="str">
        <x:f>IF(K71&lt;&gt;"",K71,J71)</x:f>
      </x:c>
      <x:c r="M71" s="56" t="str">
        <x:f>IF(L71=F71,"Yes",IF(L71=0,"No","Partial"))</x:f>
        <x:v>Yes</x:v>
      </x:c>
      <x:c r="N71" s="56"/>
      <x:c r="O71" s="56"/>
      <x:c r="P71" s="56"/>
    </x:row>
    <x:row r="72">
      <x:c r="A72" s="56" t="n">
        <x:f>Student_Responses!A72</x:f>
        <x:v>0</x:v>
      </x:c>
      <x:c r="B72" s="56" t="n">
        <x:f>Student_Responses!B72</x:f>
        <x:v>0</x:v>
      </x:c>
      <x:c r="C72" s="56" t="n">
        <x:f>Student_Responses!C72</x:f>
        <x:v>0</x:v>
      </x:c>
      <x:c r="D72" s="56" t="n">
        <x:f>Student_Responses!G72</x:f>
        <x:v>0</x:v>
      </x:c>
      <x:c r="E72" s="56" t="n">
        <x:f>Student_Responses!H72</x:f>
        <x:v>0</x:v>
      </x:c>
      <x:c r="F72" s="82" t="str">
        <x:f>IFERROR(VLOOKUP(D72,Answer_Key!$D$5:$V$87,10,FALSE),"")</x:f>
      </x:c>
      <x:c r="G72" s="56" t="n">
        <x:f>Student_Responses!I72</x:f>
        <x:v>0</x:v>
      </x:c>
      <x:c r="H72" s="56" t="n">
        <x:f>Student_Responses!J72</x:f>
        <x:v>0</x:v>
      </x:c>
      <x:c r="I72" s="56" t="str">
        <x:f>IFERROR(VLOOKUP(D72,Answer_Key!$D$5:$V$87,8,FALSE),"")</x:f>
      </x:c>
      <x:c r="J72" s="82" t="str">
        <x:f>IF(E72="MCQ",IF(G72=IFERROR(VLOOKUP(D72,Answer_Key!$D$5:$V$87,8,FALSE),""),F72,0),IF(E72="FILLUP",IF(OR(LOWER(TRIM(G72))=LOWER(TRIM(IFERROR(VLOOKUP(D72,Answer_Key!$D$5:$V$87,8,FALSE),""))),ISNUMBER(SEARCH(LOWER(TRIM(G72)),LOWER(IFERROR(VLOOKUP(D72,Answer_Key!$D$5:$V$87,9,FALSE),""))))),F72,0),""))</x:f>
      </x:c>
      <x:c r="K72" s="82"/>
      <x:c r="L72" s="82" t="str">
        <x:f>IF(K72&lt;&gt;"",K72,J72)</x:f>
      </x:c>
      <x:c r="M72" s="56" t="str">
        <x:f>IF(L72=F72,"Yes",IF(L72=0,"No","Partial"))</x:f>
        <x:v>Yes</x:v>
      </x:c>
      <x:c r="N72" s="56"/>
      <x:c r="O72" s="56"/>
      <x:c r="P72" s="56"/>
    </x:row>
    <x:row r="73">
      <x:c r="A73" s="56" t="n">
        <x:f>Student_Responses!A73</x:f>
        <x:v>0</x:v>
      </x:c>
      <x:c r="B73" s="56" t="n">
        <x:f>Student_Responses!B73</x:f>
        <x:v>0</x:v>
      </x:c>
      <x:c r="C73" s="56" t="n">
        <x:f>Student_Responses!C73</x:f>
        <x:v>0</x:v>
      </x:c>
      <x:c r="D73" s="56" t="n">
        <x:f>Student_Responses!G73</x:f>
        <x:v>0</x:v>
      </x:c>
      <x:c r="E73" s="56" t="n">
        <x:f>Student_Responses!H73</x:f>
        <x:v>0</x:v>
      </x:c>
      <x:c r="F73" s="82" t="str">
        <x:f>IFERROR(VLOOKUP(D73,Answer_Key!$D$5:$V$87,10,FALSE),"")</x:f>
      </x:c>
      <x:c r="G73" s="56" t="n">
        <x:f>Student_Responses!I73</x:f>
        <x:v>0</x:v>
      </x:c>
      <x:c r="H73" s="56" t="n">
        <x:f>Student_Responses!J73</x:f>
        <x:v>0</x:v>
      </x:c>
      <x:c r="I73" s="56" t="str">
        <x:f>IFERROR(VLOOKUP(D73,Answer_Key!$D$5:$V$87,8,FALSE),"")</x:f>
      </x:c>
      <x:c r="J73" s="82" t="str">
        <x:f>IF(E73="MCQ",IF(G73=IFERROR(VLOOKUP(D73,Answer_Key!$D$5:$V$87,8,FALSE),""),F73,0),IF(E73="FILLUP",IF(OR(LOWER(TRIM(G73))=LOWER(TRIM(IFERROR(VLOOKUP(D73,Answer_Key!$D$5:$V$87,8,FALSE),""))),ISNUMBER(SEARCH(LOWER(TRIM(G73)),LOWER(IFERROR(VLOOKUP(D73,Answer_Key!$D$5:$V$87,9,FALSE),""))))),F73,0),""))</x:f>
      </x:c>
      <x:c r="K73" s="82"/>
      <x:c r="L73" s="82" t="str">
        <x:f>IF(K73&lt;&gt;"",K73,J73)</x:f>
      </x:c>
      <x:c r="M73" s="56" t="str">
        <x:f>IF(L73=F73,"Yes",IF(L73=0,"No","Partial"))</x:f>
        <x:v>Yes</x:v>
      </x:c>
      <x:c r="N73" s="56"/>
      <x:c r="O73" s="56"/>
      <x:c r="P73" s="56"/>
    </x:row>
    <x:row r="74">
      <x:c r="A74" s="56" t="n">
        <x:f>Student_Responses!A74</x:f>
        <x:v>0</x:v>
      </x:c>
      <x:c r="B74" s="56" t="n">
        <x:f>Student_Responses!B74</x:f>
        <x:v>0</x:v>
      </x:c>
      <x:c r="C74" s="56" t="n">
        <x:f>Student_Responses!C74</x:f>
        <x:v>0</x:v>
      </x:c>
      <x:c r="D74" s="56" t="n">
        <x:f>Student_Responses!G74</x:f>
        <x:v>0</x:v>
      </x:c>
      <x:c r="E74" s="56" t="n">
        <x:f>Student_Responses!H74</x:f>
        <x:v>0</x:v>
      </x:c>
      <x:c r="F74" s="82" t="str">
        <x:f>IFERROR(VLOOKUP(D74,Answer_Key!$D$5:$V$87,10,FALSE),"")</x:f>
      </x:c>
      <x:c r="G74" s="56" t="n">
        <x:f>Student_Responses!I74</x:f>
        <x:v>0</x:v>
      </x:c>
      <x:c r="H74" s="56" t="n">
        <x:f>Student_Responses!J74</x:f>
        <x:v>0</x:v>
      </x:c>
      <x:c r="I74" s="56" t="str">
        <x:f>IFERROR(VLOOKUP(D74,Answer_Key!$D$5:$V$87,8,FALSE),"")</x:f>
      </x:c>
      <x:c r="J74" s="82" t="str">
        <x:f>IF(E74="MCQ",IF(G74=IFERROR(VLOOKUP(D74,Answer_Key!$D$5:$V$87,8,FALSE),""),F74,0),IF(E74="FILLUP",IF(OR(LOWER(TRIM(G74))=LOWER(TRIM(IFERROR(VLOOKUP(D74,Answer_Key!$D$5:$V$87,8,FALSE),""))),ISNUMBER(SEARCH(LOWER(TRIM(G74)),LOWER(IFERROR(VLOOKUP(D74,Answer_Key!$D$5:$V$87,9,FALSE),""))))),F74,0),""))</x:f>
      </x:c>
      <x:c r="K74" s="82"/>
      <x:c r="L74" s="82" t="str">
        <x:f>IF(K74&lt;&gt;"",K74,J74)</x:f>
      </x:c>
      <x:c r="M74" s="56" t="str">
        <x:f>IF(L74=F74,"Yes",IF(L74=0,"No","Partial"))</x:f>
        <x:v>Yes</x:v>
      </x:c>
      <x:c r="N74" s="56"/>
      <x:c r="O74" s="56"/>
      <x:c r="P74" s="56"/>
    </x:row>
    <x:row r="75">
      <x:c r="A75" s="56" t="n">
        <x:f>Student_Responses!A75</x:f>
        <x:v>0</x:v>
      </x:c>
      <x:c r="B75" s="56" t="n">
        <x:f>Student_Responses!B75</x:f>
        <x:v>0</x:v>
      </x:c>
      <x:c r="C75" s="56" t="n">
        <x:f>Student_Responses!C75</x:f>
        <x:v>0</x:v>
      </x:c>
      <x:c r="D75" s="56" t="n">
        <x:f>Student_Responses!G75</x:f>
        <x:v>0</x:v>
      </x:c>
      <x:c r="E75" s="56" t="n">
        <x:f>Student_Responses!H75</x:f>
        <x:v>0</x:v>
      </x:c>
      <x:c r="F75" s="82" t="str">
        <x:f>IFERROR(VLOOKUP(D75,Answer_Key!$D$5:$V$87,10,FALSE),"")</x:f>
      </x:c>
      <x:c r="G75" s="56" t="n">
        <x:f>Student_Responses!I75</x:f>
        <x:v>0</x:v>
      </x:c>
      <x:c r="H75" s="56" t="n">
        <x:f>Student_Responses!J75</x:f>
        <x:v>0</x:v>
      </x:c>
      <x:c r="I75" s="56" t="str">
        <x:f>IFERROR(VLOOKUP(D75,Answer_Key!$D$5:$V$87,8,FALSE),"")</x:f>
      </x:c>
      <x:c r="J75" s="82" t="str">
        <x:f>IF(E75="MCQ",IF(G75=IFERROR(VLOOKUP(D75,Answer_Key!$D$5:$V$87,8,FALSE),""),F75,0),IF(E75="FILLUP",IF(OR(LOWER(TRIM(G75))=LOWER(TRIM(IFERROR(VLOOKUP(D75,Answer_Key!$D$5:$V$87,8,FALSE),""))),ISNUMBER(SEARCH(LOWER(TRIM(G75)),LOWER(IFERROR(VLOOKUP(D75,Answer_Key!$D$5:$V$87,9,FALSE),""))))),F75,0),""))</x:f>
      </x:c>
      <x:c r="K75" s="82"/>
      <x:c r="L75" s="82" t="str">
        <x:f>IF(K75&lt;&gt;"",K75,J75)</x:f>
      </x:c>
      <x:c r="M75" s="56" t="str">
        <x:f>IF(L75=F75,"Yes",IF(L75=0,"No","Partial"))</x:f>
        <x:v>Yes</x:v>
      </x:c>
      <x:c r="N75" s="56"/>
      <x:c r="O75" s="56"/>
      <x:c r="P75" s="56"/>
    </x:row>
    <x:row r="76">
      <x:c r="A76" s="56" t="n">
        <x:f>Student_Responses!A76</x:f>
        <x:v>0</x:v>
      </x:c>
      <x:c r="B76" s="56" t="n">
        <x:f>Student_Responses!B76</x:f>
        <x:v>0</x:v>
      </x:c>
      <x:c r="C76" s="56" t="n">
        <x:f>Student_Responses!C76</x:f>
        <x:v>0</x:v>
      </x:c>
      <x:c r="D76" s="56" t="n">
        <x:f>Student_Responses!G76</x:f>
        <x:v>0</x:v>
      </x:c>
      <x:c r="E76" s="56" t="n">
        <x:f>Student_Responses!H76</x:f>
        <x:v>0</x:v>
      </x:c>
      <x:c r="F76" s="82" t="str">
        <x:f>IFERROR(VLOOKUP(D76,Answer_Key!$D$5:$V$87,10,FALSE),"")</x:f>
      </x:c>
      <x:c r="G76" s="56" t="n">
        <x:f>Student_Responses!I76</x:f>
        <x:v>0</x:v>
      </x:c>
      <x:c r="H76" s="56" t="n">
        <x:f>Student_Responses!J76</x:f>
        <x:v>0</x:v>
      </x:c>
      <x:c r="I76" s="56" t="str">
        <x:f>IFERROR(VLOOKUP(D76,Answer_Key!$D$5:$V$87,8,FALSE),"")</x:f>
      </x:c>
      <x:c r="J76" s="82" t="str">
        <x:f>IF(E76="MCQ",IF(G76=IFERROR(VLOOKUP(D76,Answer_Key!$D$5:$V$87,8,FALSE),""),F76,0),IF(E76="FILLUP",IF(OR(LOWER(TRIM(G76))=LOWER(TRIM(IFERROR(VLOOKUP(D76,Answer_Key!$D$5:$V$87,8,FALSE),""))),ISNUMBER(SEARCH(LOWER(TRIM(G76)),LOWER(IFERROR(VLOOKUP(D76,Answer_Key!$D$5:$V$87,9,FALSE),""))))),F76,0),""))</x:f>
      </x:c>
      <x:c r="K76" s="82"/>
      <x:c r="L76" s="82" t="str">
        <x:f>IF(K76&lt;&gt;"",K76,J76)</x:f>
      </x:c>
      <x:c r="M76" s="56" t="str">
        <x:f>IF(L76=F76,"Yes",IF(L76=0,"No","Partial"))</x:f>
        <x:v>Yes</x:v>
      </x:c>
      <x:c r="N76" s="56"/>
      <x:c r="O76" s="56"/>
      <x:c r="P76" s="56"/>
    </x:row>
    <x:row r="77">
      <x:c r="A77" s="56" t="n">
        <x:f>Student_Responses!A77</x:f>
        <x:v>0</x:v>
      </x:c>
      <x:c r="B77" s="56" t="n">
        <x:f>Student_Responses!B77</x:f>
        <x:v>0</x:v>
      </x:c>
      <x:c r="C77" s="56" t="n">
        <x:f>Student_Responses!C77</x:f>
        <x:v>0</x:v>
      </x:c>
      <x:c r="D77" s="56" t="n">
        <x:f>Student_Responses!G77</x:f>
        <x:v>0</x:v>
      </x:c>
      <x:c r="E77" s="56" t="n">
        <x:f>Student_Responses!H77</x:f>
        <x:v>0</x:v>
      </x:c>
      <x:c r="F77" s="82" t="str">
        <x:f>IFERROR(VLOOKUP(D77,Answer_Key!$D$5:$V$87,10,FALSE),"")</x:f>
      </x:c>
      <x:c r="G77" s="56" t="n">
        <x:f>Student_Responses!I77</x:f>
        <x:v>0</x:v>
      </x:c>
      <x:c r="H77" s="56" t="n">
        <x:f>Student_Responses!J77</x:f>
        <x:v>0</x:v>
      </x:c>
      <x:c r="I77" s="56" t="str">
        <x:f>IFERROR(VLOOKUP(D77,Answer_Key!$D$5:$V$87,8,FALSE),"")</x:f>
      </x:c>
      <x:c r="J77" s="82" t="str">
        <x:f>IF(E77="MCQ",IF(G77=IFERROR(VLOOKUP(D77,Answer_Key!$D$5:$V$87,8,FALSE),""),F77,0),IF(E77="FILLUP",IF(OR(LOWER(TRIM(G77))=LOWER(TRIM(IFERROR(VLOOKUP(D77,Answer_Key!$D$5:$V$87,8,FALSE),""))),ISNUMBER(SEARCH(LOWER(TRIM(G77)),LOWER(IFERROR(VLOOKUP(D77,Answer_Key!$D$5:$V$87,9,FALSE),""))))),F77,0),""))</x:f>
      </x:c>
      <x:c r="K77" s="82"/>
      <x:c r="L77" s="82" t="str">
        <x:f>IF(K77&lt;&gt;"",K77,J77)</x:f>
      </x:c>
      <x:c r="M77" s="56" t="str">
        <x:f>IF(L77=F77,"Yes",IF(L77=0,"No","Partial"))</x:f>
        <x:v>Yes</x:v>
      </x:c>
      <x:c r="N77" s="56"/>
      <x:c r="O77" s="56"/>
      <x:c r="P77" s="56"/>
    </x:row>
    <x:row r="78">
      <x:c r="A78" s="56" t="n">
        <x:f>Student_Responses!A78</x:f>
        <x:v>0</x:v>
      </x:c>
      <x:c r="B78" s="56" t="n">
        <x:f>Student_Responses!B78</x:f>
        <x:v>0</x:v>
      </x:c>
      <x:c r="C78" s="56" t="n">
        <x:f>Student_Responses!C78</x:f>
        <x:v>0</x:v>
      </x:c>
      <x:c r="D78" s="56" t="n">
        <x:f>Student_Responses!G78</x:f>
        <x:v>0</x:v>
      </x:c>
      <x:c r="E78" s="56" t="n">
        <x:f>Student_Responses!H78</x:f>
        <x:v>0</x:v>
      </x:c>
      <x:c r="F78" s="82" t="str">
        <x:f>IFERROR(VLOOKUP(D78,Answer_Key!$D$5:$V$87,10,FALSE),"")</x:f>
      </x:c>
      <x:c r="G78" s="56" t="n">
        <x:f>Student_Responses!I78</x:f>
        <x:v>0</x:v>
      </x:c>
      <x:c r="H78" s="56" t="n">
        <x:f>Student_Responses!J78</x:f>
        <x:v>0</x:v>
      </x:c>
      <x:c r="I78" s="56" t="str">
        <x:f>IFERROR(VLOOKUP(D78,Answer_Key!$D$5:$V$87,8,FALSE),"")</x:f>
      </x:c>
      <x:c r="J78" s="82" t="str">
        <x:f>IF(E78="MCQ",IF(G78=IFERROR(VLOOKUP(D78,Answer_Key!$D$5:$V$87,8,FALSE),""),F78,0),IF(E78="FILLUP",IF(OR(LOWER(TRIM(G78))=LOWER(TRIM(IFERROR(VLOOKUP(D78,Answer_Key!$D$5:$V$87,8,FALSE),""))),ISNUMBER(SEARCH(LOWER(TRIM(G78)),LOWER(IFERROR(VLOOKUP(D78,Answer_Key!$D$5:$V$87,9,FALSE),""))))),F78,0),""))</x:f>
      </x:c>
      <x:c r="K78" s="82"/>
      <x:c r="L78" s="82" t="str">
        <x:f>IF(K78&lt;&gt;"",K78,J78)</x:f>
      </x:c>
      <x:c r="M78" s="56" t="str">
        <x:f>IF(L78=F78,"Yes",IF(L78=0,"No","Partial"))</x:f>
        <x:v>Yes</x:v>
      </x:c>
      <x:c r="N78" s="56"/>
      <x:c r="O78" s="56"/>
      <x:c r="P78" s="56"/>
    </x:row>
    <x:row r="79">
      <x:c r="A79" s="56" t="n">
        <x:f>Student_Responses!A79</x:f>
        <x:v>0</x:v>
      </x:c>
      <x:c r="B79" s="56" t="n">
        <x:f>Student_Responses!B79</x:f>
        <x:v>0</x:v>
      </x:c>
      <x:c r="C79" s="56" t="n">
        <x:f>Student_Responses!C79</x:f>
        <x:v>0</x:v>
      </x:c>
      <x:c r="D79" s="56" t="n">
        <x:f>Student_Responses!G79</x:f>
        <x:v>0</x:v>
      </x:c>
      <x:c r="E79" s="56" t="n">
        <x:f>Student_Responses!H79</x:f>
        <x:v>0</x:v>
      </x:c>
      <x:c r="F79" s="82" t="str">
        <x:f>IFERROR(VLOOKUP(D79,Answer_Key!$D$5:$V$87,10,FALSE),"")</x:f>
      </x:c>
      <x:c r="G79" s="56" t="n">
        <x:f>Student_Responses!I79</x:f>
        <x:v>0</x:v>
      </x:c>
      <x:c r="H79" s="56" t="n">
        <x:f>Student_Responses!J79</x:f>
        <x:v>0</x:v>
      </x:c>
      <x:c r="I79" s="56" t="str">
        <x:f>IFERROR(VLOOKUP(D79,Answer_Key!$D$5:$V$87,8,FALSE),"")</x:f>
      </x:c>
      <x:c r="J79" s="82" t="str">
        <x:f>IF(E79="MCQ",IF(G79=IFERROR(VLOOKUP(D79,Answer_Key!$D$5:$V$87,8,FALSE),""),F79,0),IF(E79="FILLUP",IF(OR(LOWER(TRIM(G79))=LOWER(TRIM(IFERROR(VLOOKUP(D79,Answer_Key!$D$5:$V$87,8,FALSE),""))),ISNUMBER(SEARCH(LOWER(TRIM(G79)),LOWER(IFERROR(VLOOKUP(D79,Answer_Key!$D$5:$V$87,9,FALSE),""))))),F79,0),""))</x:f>
      </x:c>
      <x:c r="K79" s="82"/>
      <x:c r="L79" s="82" t="str">
        <x:f>IF(K79&lt;&gt;"",K79,J79)</x:f>
      </x:c>
      <x:c r="M79" s="56" t="str">
        <x:f>IF(L79=F79,"Yes",IF(L79=0,"No","Partial"))</x:f>
        <x:v>Yes</x:v>
      </x:c>
      <x:c r="N79" s="56"/>
      <x:c r="O79" s="56"/>
      <x:c r="P79" s="56"/>
    </x:row>
    <x:row r="80">
      <x:c r="A80" s="56" t="n">
        <x:f>Student_Responses!A80</x:f>
        <x:v>0</x:v>
      </x:c>
      <x:c r="B80" s="56" t="n">
        <x:f>Student_Responses!B80</x:f>
        <x:v>0</x:v>
      </x:c>
      <x:c r="C80" s="56" t="n">
        <x:f>Student_Responses!C80</x:f>
        <x:v>0</x:v>
      </x:c>
      <x:c r="D80" s="56" t="n">
        <x:f>Student_Responses!G80</x:f>
        <x:v>0</x:v>
      </x:c>
      <x:c r="E80" s="56" t="n">
        <x:f>Student_Responses!H80</x:f>
        <x:v>0</x:v>
      </x:c>
      <x:c r="F80" s="82" t="str">
        <x:f>IFERROR(VLOOKUP(D80,Answer_Key!$D$5:$V$87,10,FALSE),"")</x:f>
      </x:c>
      <x:c r="G80" s="56" t="n">
        <x:f>Student_Responses!I80</x:f>
        <x:v>0</x:v>
      </x:c>
      <x:c r="H80" s="56" t="n">
        <x:f>Student_Responses!J80</x:f>
        <x:v>0</x:v>
      </x:c>
      <x:c r="I80" s="56" t="str">
        <x:f>IFERROR(VLOOKUP(D80,Answer_Key!$D$5:$V$87,8,FALSE),"")</x:f>
      </x:c>
      <x:c r="J80" s="82" t="str">
        <x:f>IF(E80="MCQ",IF(G80=IFERROR(VLOOKUP(D80,Answer_Key!$D$5:$V$87,8,FALSE),""),F80,0),IF(E80="FILLUP",IF(OR(LOWER(TRIM(G80))=LOWER(TRIM(IFERROR(VLOOKUP(D80,Answer_Key!$D$5:$V$87,8,FALSE),""))),ISNUMBER(SEARCH(LOWER(TRIM(G80)),LOWER(IFERROR(VLOOKUP(D80,Answer_Key!$D$5:$V$87,9,FALSE),""))))),F80,0),""))</x:f>
      </x:c>
      <x:c r="K80" s="82"/>
      <x:c r="L80" s="82" t="str">
        <x:f>IF(K80&lt;&gt;"",K80,J80)</x:f>
      </x:c>
      <x:c r="M80" s="56" t="str">
        <x:f>IF(L80=F80,"Yes",IF(L80=0,"No","Partial"))</x:f>
        <x:v>Yes</x:v>
      </x:c>
      <x:c r="N80" s="56"/>
      <x:c r="O80" s="56"/>
      <x:c r="P80" s="56"/>
    </x:row>
    <x:row r="81">
      <x:c r="A81" s="56" t="n">
        <x:f>Student_Responses!A81</x:f>
        <x:v>0</x:v>
      </x:c>
      <x:c r="B81" s="56" t="n">
        <x:f>Student_Responses!B81</x:f>
        <x:v>0</x:v>
      </x:c>
      <x:c r="C81" s="56" t="n">
        <x:f>Student_Responses!C81</x:f>
        <x:v>0</x:v>
      </x:c>
      <x:c r="D81" s="56" t="n">
        <x:f>Student_Responses!G81</x:f>
        <x:v>0</x:v>
      </x:c>
      <x:c r="E81" s="56" t="n">
        <x:f>Student_Responses!H81</x:f>
        <x:v>0</x:v>
      </x:c>
      <x:c r="F81" s="82" t="str">
        <x:f>IFERROR(VLOOKUP(D81,Answer_Key!$D$5:$V$87,10,FALSE),"")</x:f>
      </x:c>
      <x:c r="G81" s="56" t="n">
        <x:f>Student_Responses!I81</x:f>
        <x:v>0</x:v>
      </x:c>
      <x:c r="H81" s="56" t="n">
        <x:f>Student_Responses!J81</x:f>
        <x:v>0</x:v>
      </x:c>
      <x:c r="I81" s="56" t="str">
        <x:f>IFERROR(VLOOKUP(D81,Answer_Key!$D$5:$V$87,8,FALSE),"")</x:f>
      </x:c>
      <x:c r="J81" s="82" t="str">
        <x:f>IF(E81="MCQ",IF(G81=IFERROR(VLOOKUP(D81,Answer_Key!$D$5:$V$87,8,FALSE),""),F81,0),IF(E81="FILLUP",IF(OR(LOWER(TRIM(G81))=LOWER(TRIM(IFERROR(VLOOKUP(D81,Answer_Key!$D$5:$V$87,8,FALSE),""))),ISNUMBER(SEARCH(LOWER(TRIM(G81)),LOWER(IFERROR(VLOOKUP(D81,Answer_Key!$D$5:$V$87,9,FALSE),""))))),F81,0),""))</x:f>
      </x:c>
      <x:c r="K81" s="82"/>
      <x:c r="L81" s="82" t="str">
        <x:f>IF(K81&lt;&gt;"",K81,J81)</x:f>
      </x:c>
      <x:c r="M81" s="56" t="str">
        <x:f>IF(L81=F81,"Yes",IF(L81=0,"No","Partial"))</x:f>
        <x:v>Yes</x:v>
      </x:c>
      <x:c r="N81" s="56"/>
      <x:c r="O81" s="56"/>
      <x:c r="P81" s="56"/>
    </x:row>
    <x:row r="82">
      <x:c r="A82" s="56" t="n">
        <x:f>Student_Responses!A82</x:f>
        <x:v>0</x:v>
      </x:c>
      <x:c r="B82" s="56" t="n">
        <x:f>Student_Responses!B82</x:f>
        <x:v>0</x:v>
      </x:c>
      <x:c r="C82" s="56" t="n">
        <x:f>Student_Responses!C82</x:f>
        <x:v>0</x:v>
      </x:c>
      <x:c r="D82" s="56" t="n">
        <x:f>Student_Responses!G82</x:f>
        <x:v>0</x:v>
      </x:c>
      <x:c r="E82" s="56" t="n">
        <x:f>Student_Responses!H82</x:f>
        <x:v>0</x:v>
      </x:c>
      <x:c r="F82" s="82" t="str">
        <x:f>IFERROR(VLOOKUP(D82,Answer_Key!$D$5:$V$87,10,FALSE),"")</x:f>
      </x:c>
      <x:c r="G82" s="56" t="n">
        <x:f>Student_Responses!I82</x:f>
        <x:v>0</x:v>
      </x:c>
      <x:c r="H82" s="56" t="n">
        <x:f>Student_Responses!J82</x:f>
        <x:v>0</x:v>
      </x:c>
      <x:c r="I82" s="56" t="str">
        <x:f>IFERROR(VLOOKUP(D82,Answer_Key!$D$5:$V$87,8,FALSE),"")</x:f>
      </x:c>
      <x:c r="J82" s="82" t="str">
        <x:f>IF(E82="MCQ",IF(G82=IFERROR(VLOOKUP(D82,Answer_Key!$D$5:$V$87,8,FALSE),""),F82,0),IF(E82="FILLUP",IF(OR(LOWER(TRIM(G82))=LOWER(TRIM(IFERROR(VLOOKUP(D82,Answer_Key!$D$5:$V$87,8,FALSE),""))),ISNUMBER(SEARCH(LOWER(TRIM(G82)),LOWER(IFERROR(VLOOKUP(D82,Answer_Key!$D$5:$V$87,9,FALSE),""))))),F82,0),""))</x:f>
      </x:c>
      <x:c r="K82" s="82"/>
      <x:c r="L82" s="82" t="str">
        <x:f>IF(K82&lt;&gt;"",K82,J82)</x:f>
      </x:c>
      <x:c r="M82" s="56" t="str">
        <x:f>IF(L82=F82,"Yes",IF(L82=0,"No","Partial"))</x:f>
        <x:v>Yes</x:v>
      </x:c>
      <x:c r="N82" s="56"/>
      <x:c r="O82" s="56"/>
      <x:c r="P82" s="56"/>
    </x:row>
    <x:row r="83">
      <x:c r="A83" s="56" t="n">
        <x:f>Student_Responses!A83</x:f>
        <x:v>0</x:v>
      </x:c>
      <x:c r="B83" s="56" t="n">
        <x:f>Student_Responses!B83</x:f>
        <x:v>0</x:v>
      </x:c>
      <x:c r="C83" s="56" t="n">
        <x:f>Student_Responses!C83</x:f>
        <x:v>0</x:v>
      </x:c>
      <x:c r="D83" s="56" t="n">
        <x:f>Student_Responses!G83</x:f>
        <x:v>0</x:v>
      </x:c>
      <x:c r="E83" s="56" t="n">
        <x:f>Student_Responses!H83</x:f>
        <x:v>0</x:v>
      </x:c>
      <x:c r="F83" s="82" t="str">
        <x:f>IFERROR(VLOOKUP(D83,Answer_Key!$D$5:$V$87,10,FALSE),"")</x:f>
      </x:c>
      <x:c r="G83" s="56" t="n">
        <x:f>Student_Responses!I83</x:f>
        <x:v>0</x:v>
      </x:c>
      <x:c r="H83" s="56" t="n">
        <x:f>Student_Responses!J83</x:f>
        <x:v>0</x:v>
      </x:c>
      <x:c r="I83" s="56" t="str">
        <x:f>IFERROR(VLOOKUP(D83,Answer_Key!$D$5:$V$87,8,FALSE),"")</x:f>
      </x:c>
      <x:c r="J83" s="82" t="str">
        <x:f>IF(E83="MCQ",IF(G83=IFERROR(VLOOKUP(D83,Answer_Key!$D$5:$V$87,8,FALSE),""),F83,0),IF(E83="FILLUP",IF(OR(LOWER(TRIM(G83))=LOWER(TRIM(IFERROR(VLOOKUP(D83,Answer_Key!$D$5:$V$87,8,FALSE),""))),ISNUMBER(SEARCH(LOWER(TRIM(G83)),LOWER(IFERROR(VLOOKUP(D83,Answer_Key!$D$5:$V$87,9,FALSE),""))))),F83,0),""))</x:f>
      </x:c>
      <x:c r="K83" s="82"/>
      <x:c r="L83" s="82" t="str">
        <x:f>IF(K83&lt;&gt;"",K83,J83)</x:f>
      </x:c>
      <x:c r="M83" s="56" t="str">
        <x:f>IF(L83=F83,"Yes",IF(L83=0,"No","Partial"))</x:f>
        <x:v>Yes</x:v>
      </x:c>
      <x:c r="N83" s="56"/>
      <x:c r="O83" s="56"/>
      <x:c r="P83" s="56"/>
    </x:row>
    <x:row r="84">
      <x:c r="A84" s="56" t="n">
        <x:f>Student_Responses!A84</x:f>
        <x:v>0</x:v>
      </x:c>
      <x:c r="B84" s="56" t="n">
        <x:f>Student_Responses!B84</x:f>
        <x:v>0</x:v>
      </x:c>
      <x:c r="C84" s="56" t="n">
        <x:f>Student_Responses!C84</x:f>
        <x:v>0</x:v>
      </x:c>
      <x:c r="D84" s="56" t="n">
        <x:f>Student_Responses!G84</x:f>
        <x:v>0</x:v>
      </x:c>
      <x:c r="E84" s="56" t="n">
        <x:f>Student_Responses!H84</x:f>
        <x:v>0</x:v>
      </x:c>
      <x:c r="F84" s="82" t="str">
        <x:f>IFERROR(VLOOKUP(D84,Answer_Key!$D$5:$V$87,10,FALSE),"")</x:f>
      </x:c>
      <x:c r="G84" s="56" t="n">
        <x:f>Student_Responses!I84</x:f>
        <x:v>0</x:v>
      </x:c>
      <x:c r="H84" s="56" t="n">
        <x:f>Student_Responses!J84</x:f>
        <x:v>0</x:v>
      </x:c>
      <x:c r="I84" s="56" t="str">
        <x:f>IFERROR(VLOOKUP(D84,Answer_Key!$D$5:$V$87,8,FALSE),"")</x:f>
      </x:c>
      <x:c r="J84" s="82" t="str">
        <x:f>IF(E84="MCQ",IF(G84=IFERROR(VLOOKUP(D84,Answer_Key!$D$5:$V$87,8,FALSE),""),F84,0),IF(E84="FILLUP",IF(OR(LOWER(TRIM(G84))=LOWER(TRIM(IFERROR(VLOOKUP(D84,Answer_Key!$D$5:$V$87,8,FALSE),""))),ISNUMBER(SEARCH(LOWER(TRIM(G84)),LOWER(IFERROR(VLOOKUP(D84,Answer_Key!$D$5:$V$87,9,FALSE),""))))),F84,0),""))</x:f>
      </x:c>
      <x:c r="K84" s="82"/>
      <x:c r="L84" s="82" t="str">
        <x:f>IF(K84&lt;&gt;"",K84,J84)</x:f>
      </x:c>
      <x:c r="M84" s="56" t="str">
        <x:f>IF(L84=F84,"Yes",IF(L84=0,"No","Partial"))</x:f>
        <x:v>Yes</x:v>
      </x:c>
      <x:c r="N84" s="56"/>
      <x:c r="O84" s="56"/>
      <x:c r="P84" s="56"/>
    </x:row>
    <x:row r="85">
      <x:c r="A85" s="56" t="n">
        <x:f>Student_Responses!A85</x:f>
        <x:v>0</x:v>
      </x:c>
      <x:c r="B85" s="56" t="n">
        <x:f>Student_Responses!B85</x:f>
        <x:v>0</x:v>
      </x:c>
      <x:c r="C85" s="56" t="n">
        <x:f>Student_Responses!C85</x:f>
        <x:v>0</x:v>
      </x:c>
      <x:c r="D85" s="56" t="n">
        <x:f>Student_Responses!G85</x:f>
        <x:v>0</x:v>
      </x:c>
      <x:c r="E85" s="56" t="n">
        <x:f>Student_Responses!H85</x:f>
        <x:v>0</x:v>
      </x:c>
      <x:c r="F85" s="82" t="str">
        <x:f>IFERROR(VLOOKUP(D85,Answer_Key!$D$5:$V$87,10,FALSE),"")</x:f>
      </x:c>
      <x:c r="G85" s="56" t="n">
        <x:f>Student_Responses!I85</x:f>
        <x:v>0</x:v>
      </x:c>
      <x:c r="H85" s="56" t="n">
        <x:f>Student_Responses!J85</x:f>
        <x:v>0</x:v>
      </x:c>
      <x:c r="I85" s="56" t="str">
        <x:f>IFERROR(VLOOKUP(D85,Answer_Key!$D$5:$V$87,8,FALSE),"")</x:f>
      </x:c>
      <x:c r="J85" s="82" t="str">
        <x:f>IF(E85="MCQ",IF(G85=IFERROR(VLOOKUP(D85,Answer_Key!$D$5:$V$87,8,FALSE),""),F85,0),IF(E85="FILLUP",IF(OR(LOWER(TRIM(G85))=LOWER(TRIM(IFERROR(VLOOKUP(D85,Answer_Key!$D$5:$V$87,8,FALSE),""))),ISNUMBER(SEARCH(LOWER(TRIM(G85)),LOWER(IFERROR(VLOOKUP(D85,Answer_Key!$D$5:$V$87,9,FALSE),""))))),F85,0),""))</x:f>
      </x:c>
      <x:c r="K85" s="82"/>
      <x:c r="L85" s="82" t="str">
        <x:f>IF(K85&lt;&gt;"",K85,J85)</x:f>
      </x:c>
      <x:c r="M85" s="56" t="str">
        <x:f>IF(L85=F85,"Yes",IF(L85=0,"No","Partial"))</x:f>
        <x:v>Yes</x:v>
      </x:c>
      <x:c r="N85" s="56"/>
      <x:c r="O85" s="56"/>
      <x:c r="P85" s="56"/>
    </x:row>
    <x:row r="86">
      <x:c r="A86" s="56" t="n">
        <x:f>Student_Responses!A86</x:f>
        <x:v>0</x:v>
      </x:c>
      <x:c r="B86" s="56" t="n">
        <x:f>Student_Responses!B86</x:f>
        <x:v>0</x:v>
      </x:c>
      <x:c r="C86" s="56" t="n">
        <x:f>Student_Responses!C86</x:f>
        <x:v>0</x:v>
      </x:c>
      <x:c r="D86" s="56" t="n">
        <x:f>Student_Responses!G86</x:f>
        <x:v>0</x:v>
      </x:c>
      <x:c r="E86" s="56" t="n">
        <x:f>Student_Responses!H86</x:f>
        <x:v>0</x:v>
      </x:c>
      <x:c r="F86" s="82" t="str">
        <x:f>IFERROR(VLOOKUP(D86,Answer_Key!$D$5:$V$87,10,FALSE),"")</x:f>
      </x:c>
      <x:c r="G86" s="56" t="n">
        <x:f>Student_Responses!I86</x:f>
        <x:v>0</x:v>
      </x:c>
      <x:c r="H86" s="56" t="n">
        <x:f>Student_Responses!J86</x:f>
        <x:v>0</x:v>
      </x:c>
      <x:c r="I86" s="56" t="str">
        <x:f>IFERROR(VLOOKUP(D86,Answer_Key!$D$5:$V$87,8,FALSE),"")</x:f>
      </x:c>
      <x:c r="J86" s="82" t="str">
        <x:f>IF(E86="MCQ",IF(G86=IFERROR(VLOOKUP(D86,Answer_Key!$D$5:$V$87,8,FALSE),""),F86,0),IF(E86="FILLUP",IF(OR(LOWER(TRIM(G86))=LOWER(TRIM(IFERROR(VLOOKUP(D86,Answer_Key!$D$5:$V$87,8,FALSE),""))),ISNUMBER(SEARCH(LOWER(TRIM(G86)),LOWER(IFERROR(VLOOKUP(D86,Answer_Key!$D$5:$V$87,9,FALSE),""))))),F86,0),""))</x:f>
      </x:c>
      <x:c r="K86" s="82"/>
      <x:c r="L86" s="82" t="str">
        <x:f>IF(K86&lt;&gt;"",K86,J86)</x:f>
      </x:c>
      <x:c r="M86" s="56" t="str">
        <x:f>IF(L86=F86,"Yes",IF(L86=0,"No","Partial"))</x:f>
        <x:v>Yes</x:v>
      </x:c>
      <x:c r="N86" s="56"/>
      <x:c r="O86" s="56"/>
      <x:c r="P86" s="56"/>
    </x:row>
    <x:row r="87">
      <x:c r="A87" s="56" t="n">
        <x:f>Student_Responses!A87</x:f>
        <x:v>0</x:v>
      </x:c>
      <x:c r="B87" s="56" t="n">
        <x:f>Student_Responses!B87</x:f>
        <x:v>0</x:v>
      </x:c>
      <x:c r="C87" s="56" t="n">
        <x:f>Student_Responses!C87</x:f>
        <x:v>0</x:v>
      </x:c>
      <x:c r="D87" s="56" t="n">
        <x:f>Student_Responses!G87</x:f>
        <x:v>0</x:v>
      </x:c>
      <x:c r="E87" s="56" t="n">
        <x:f>Student_Responses!H87</x:f>
        <x:v>0</x:v>
      </x:c>
      <x:c r="F87" s="82" t="str">
        <x:f>IFERROR(VLOOKUP(D87,Answer_Key!$D$5:$V$87,10,FALSE),"")</x:f>
      </x:c>
      <x:c r="G87" s="56" t="n">
        <x:f>Student_Responses!I87</x:f>
        <x:v>0</x:v>
      </x:c>
      <x:c r="H87" s="56" t="n">
        <x:f>Student_Responses!J87</x:f>
        <x:v>0</x:v>
      </x:c>
      <x:c r="I87" s="56" t="str">
        <x:f>IFERROR(VLOOKUP(D87,Answer_Key!$D$5:$V$87,8,FALSE),"")</x:f>
      </x:c>
      <x:c r="J87" s="82" t="str">
        <x:f>IF(E87="MCQ",IF(G87=IFERROR(VLOOKUP(D87,Answer_Key!$D$5:$V$87,8,FALSE),""),F87,0),IF(E87="FILLUP",IF(OR(LOWER(TRIM(G87))=LOWER(TRIM(IFERROR(VLOOKUP(D87,Answer_Key!$D$5:$V$87,8,FALSE),""))),ISNUMBER(SEARCH(LOWER(TRIM(G87)),LOWER(IFERROR(VLOOKUP(D87,Answer_Key!$D$5:$V$87,9,FALSE),""))))),F87,0),""))</x:f>
      </x:c>
      <x:c r="K87" s="82"/>
      <x:c r="L87" s="82" t="str">
        <x:f>IF(K87&lt;&gt;"",K87,J87)</x:f>
      </x:c>
      <x:c r="M87" s="56" t="str">
        <x:f>IF(L87=F87,"Yes",IF(L87=0,"No","Partial"))</x:f>
        <x:v>Yes</x:v>
      </x:c>
      <x:c r="N87" s="56"/>
      <x:c r="O87" s="56"/>
      <x:c r="P87" s="56"/>
    </x:row>
  </x:sheetData>
  <x:mergeCells>
    <x:mergeCell ref="A1:L1"/>
    <x:mergeCell ref="A2:L2"/>
  </x:mergeCells>
  <x:conditionalFormatting sqref="M5:M87">
    <x:cfRule type="expression" dxfId="0" priority="1">
      <x:formula>$M5="Yes"</x:formula>
    </x:cfRule>
    <x:cfRule type="expression" dxfId="1" priority="2">
      <x:formula>$M5="Partial"</x:formula>
    </x:cfRule>
    <x:cfRule type="expression" dxfId="2" priority="3">
      <x:formula>$M5="No"</x:formula>
    </x:cfRule>
  </x:conditionalFormatting>
  <x:dataValidations count="1">
    <x:dataValidation type="list" sqref="O5:O87">
      <x:formula1>Lists!$E$5:$E$8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ec77a11247455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2" hidden="0" customWidth="1"/>
    <x:col min="5" max="5" width="12" hidden="0" customWidth="1"/>
    <x:col min="6" max="6" width="14" hidden="0" customWidth="1"/>
    <x:col min="7" max="7" width="18" hidden="0" customWidth="1"/>
    <x:col min="8" max="8" width="16" hidden="0" customWidth="1"/>
    <x:col min="9" max="9" width="38" hidden="0" customWidth="1"/>
  </x:cols>
  <x:sheetData>
    <x:row r="1" ht="32" customHeight="1">
      <x:c r="A1" s="5" t="str">
        <x:v>Results Summary</x:v>
      </x:c>
    </x:row>
    <x:row r="2" ht="26" customHeight="1">
      <x:c r="A2" s="12" t="str">
        <x:v>Per-attempt score summary. Publish only after teacher approval.</x:v>
      </x:c>
    </x:row>
    <x:row r="4">
      <x:c r="A4" s="50" t="str">
        <x:v>AttemptID</x:v>
      </x:c>
      <x:c r="B4" s="50" t="str">
        <x:v>StudentID</x:v>
      </x:c>
      <x:c r="C4" s="50" t="str">
        <x:v>StudentName</x:v>
      </x:c>
      <x:c r="D4" s="50" t="str">
        <x:v>TotalMarks</x:v>
      </x:c>
      <x:c r="E4" s="50" t="str">
        <x:v>Score</x:v>
      </x:c>
      <x:c r="F4" s="50" t="str">
        <x:v>Percentage</x:v>
      </x:c>
      <x:c r="G4" s="50" t="str">
        <x:v>ReviewStatus</x:v>
      </x:c>
      <x:c r="H4" s="50" t="str">
        <x:v>PublishStatus</x:v>
      </x:c>
      <x:c r="I4" s="50" t="str">
        <x:v>TeacherRemarks</x:v>
      </x:c>
    </x:row>
    <x:row r="5">
      <x:c r="A5" s="56" t="str">
        <x:v>A001</x:v>
      </x:c>
      <x:c r="B5" s="56" t="str">
        <x:f>IF(A5="","",IFERROR(VLOOKUP(A5,Student_Responses!$A$5:$K$87,2,FALSE),""))</x:f>
        <x:v>S001</x:v>
      </x:c>
      <x:c r="C5" s="56" t="str">
        <x:f>IF(A5="","",IFERROR(VLOOKUP(A5,Student_Responses!$A$5:$K$87,3,FALSE),""))</x:f>
        <x:v>Arun K</x:v>
      </x:c>
      <x:c r="D5" s="56" t="n">
        <x:f>IF(A5="","",SUMIFS(Evaluation_Worksheet!$F$5:$F$87,Evaluation_Worksheet!$A$5:$A$87,A5))</x:f>
        <x:v>7</x:v>
      </x:c>
      <x:c r="E5" s="56" t="n">
        <x:f>IF(A5="","",SUMIFS(Evaluation_Worksheet!$L$5:$L$87,Evaluation_Worksheet!$A$5:$A$87,A5))</x:f>
        <x:v>7</x:v>
      </x:c>
      <x:c r="F5" s="86" t="n">
        <x:f>IFERROR(E5/D5,"")</x:f>
        <x:v>1</x:v>
      </x:c>
      <x:c r="G5" s="56" t="str">
        <x:f>IF(A5="","",IF(COUNTIFS(Evaluation_Worksheet!$A$5:$A$87,A5,Evaluation_Worksheet!$O$5:$O$87,"&lt;&gt;Approved")&gt;0,"Pending Review","Approved"))</x:f>
        <x:v>Approved</x:v>
      </x:c>
      <x:c r="H5" s="56" t="str">
        <x:v>Draft</x:v>
      </x:c>
      <x:c r="I5" s="56" t="str">
        <x:v>Sample row. Replace AttemptID with exported attempt IDs.</x:v>
      </x:c>
    </x:row>
    <x:row r="6">
      <x:c r="A6" s="56"/>
      <x:c r="B6" s="56" t="str">
        <x:f>IF(A6="","",IFERROR(VLOOKUP(A6,Student_Responses!$A$5:$K$87,2,FALSE),""))</x:f>
      </x:c>
      <x:c r="C6" s="56" t="str">
        <x:f>IF(A6="","",IFERROR(VLOOKUP(A6,Student_Responses!$A$5:$K$87,3,FALSE),""))</x:f>
      </x:c>
      <x:c r="D6" s="56" t="str">
        <x:f>IF(A6="","",SUMIFS(Evaluation_Worksheet!$F$5:$F$87,Evaluation_Worksheet!$A$5:$A$87,A6))</x:f>
      </x:c>
      <x:c r="E6" s="56" t="str">
        <x:f>IF(A6="","",SUMIFS(Evaluation_Worksheet!$L$5:$L$87,Evaluation_Worksheet!$A$5:$A$87,A6))</x:f>
      </x:c>
      <x:c r="F6" s="86" t="str">
        <x:f>IFERROR(E6/D6,"")</x:f>
      </x:c>
      <x:c r="G6" s="56" t="str">
        <x:f>IF(A6="","",IF(COUNTIFS(Evaluation_Worksheet!$A$5:$A$87,A6,Evaluation_Worksheet!$O$5:$O$87,"&lt;&gt;Approved")&gt;0,"Pending Review","Approved"))</x:f>
      </x:c>
      <x:c r="H6" s="56"/>
      <x:c r="I6" s="56"/>
    </x:row>
    <x:row r="7">
      <x:c r="A7" s="56"/>
      <x:c r="B7" s="56" t="str">
        <x:f>IF(A7="","",IFERROR(VLOOKUP(A7,Student_Responses!$A$5:$K$87,2,FALSE),""))</x:f>
      </x:c>
      <x:c r="C7" s="56" t="str">
        <x:f>IF(A7="","",IFERROR(VLOOKUP(A7,Student_Responses!$A$5:$K$87,3,FALSE),""))</x:f>
      </x:c>
      <x:c r="D7" s="56" t="str">
        <x:f>IF(A7="","",SUMIFS(Evaluation_Worksheet!$F$5:$F$87,Evaluation_Worksheet!$A$5:$A$87,A7))</x:f>
      </x:c>
      <x:c r="E7" s="56" t="str">
        <x:f>IF(A7="","",SUMIFS(Evaluation_Worksheet!$L$5:$L$87,Evaluation_Worksheet!$A$5:$A$87,A7))</x:f>
      </x:c>
      <x:c r="F7" s="86" t="str">
        <x:f>IFERROR(E7/D7,"")</x:f>
      </x:c>
      <x:c r="G7" s="56" t="str">
        <x:f>IF(A7="","",IF(COUNTIFS(Evaluation_Worksheet!$A$5:$A$87,A7,Evaluation_Worksheet!$O$5:$O$87,"&lt;&gt;Approved")&gt;0,"Pending Review","Approved"))</x:f>
      </x:c>
      <x:c r="H7" s="56"/>
      <x:c r="I7" s="56"/>
    </x:row>
    <x:row r="8">
      <x:c r="A8" s="56"/>
      <x:c r="B8" s="56" t="str">
        <x:f>IF(A8="","",IFERROR(VLOOKUP(A8,Student_Responses!$A$5:$K$87,2,FALSE),""))</x:f>
      </x:c>
      <x:c r="C8" s="56" t="str">
        <x:f>IF(A8="","",IFERROR(VLOOKUP(A8,Student_Responses!$A$5:$K$87,3,FALSE),""))</x:f>
      </x:c>
      <x:c r="D8" s="56" t="str">
        <x:f>IF(A8="","",SUMIFS(Evaluation_Worksheet!$F$5:$F$87,Evaluation_Worksheet!$A$5:$A$87,A8))</x:f>
      </x:c>
      <x:c r="E8" s="56" t="str">
        <x:f>IF(A8="","",SUMIFS(Evaluation_Worksheet!$L$5:$L$87,Evaluation_Worksheet!$A$5:$A$87,A8))</x:f>
      </x:c>
      <x:c r="F8" s="86" t="str">
        <x:f>IFERROR(E8/D8,"")</x:f>
      </x:c>
      <x:c r="G8" s="56" t="str">
        <x:f>IF(A8="","",IF(COUNTIFS(Evaluation_Worksheet!$A$5:$A$87,A8,Evaluation_Worksheet!$O$5:$O$87,"&lt;&gt;Approved")&gt;0,"Pending Review","Approved"))</x:f>
      </x:c>
      <x:c r="H8" s="56"/>
      <x:c r="I8" s="56"/>
    </x:row>
    <x:row r="9">
      <x:c r="A9" s="56"/>
      <x:c r="B9" s="56" t="str">
        <x:f>IF(A9="","",IFERROR(VLOOKUP(A9,Student_Responses!$A$5:$K$87,2,FALSE),""))</x:f>
      </x:c>
      <x:c r="C9" s="56" t="str">
        <x:f>IF(A9="","",IFERROR(VLOOKUP(A9,Student_Responses!$A$5:$K$87,3,FALSE),""))</x:f>
      </x:c>
      <x:c r="D9" s="56" t="str">
        <x:f>IF(A9="","",SUMIFS(Evaluation_Worksheet!$F$5:$F$87,Evaluation_Worksheet!$A$5:$A$87,A9))</x:f>
      </x:c>
      <x:c r="E9" s="56" t="str">
        <x:f>IF(A9="","",SUMIFS(Evaluation_Worksheet!$L$5:$L$87,Evaluation_Worksheet!$A$5:$A$87,A9))</x:f>
      </x:c>
      <x:c r="F9" s="86" t="str">
        <x:f>IFERROR(E9/D9,"")</x:f>
      </x:c>
      <x:c r="G9" s="56" t="str">
        <x:f>IF(A9="","",IF(COUNTIFS(Evaluation_Worksheet!$A$5:$A$87,A9,Evaluation_Worksheet!$O$5:$O$87,"&lt;&gt;Approved")&gt;0,"Pending Review","Approved"))</x:f>
      </x:c>
      <x:c r="H9" s="56"/>
      <x:c r="I9" s="56"/>
    </x:row>
    <x:row r="10">
      <x:c r="A10" s="56"/>
      <x:c r="B10" s="56" t="str">
        <x:f>IF(A10="","",IFERROR(VLOOKUP(A10,Student_Responses!$A$5:$K$87,2,FALSE),""))</x:f>
      </x:c>
      <x:c r="C10" s="56" t="str">
        <x:f>IF(A10="","",IFERROR(VLOOKUP(A10,Student_Responses!$A$5:$K$87,3,FALSE),""))</x:f>
      </x:c>
      <x:c r="D10" s="56" t="str">
        <x:f>IF(A10="","",SUMIFS(Evaluation_Worksheet!$F$5:$F$87,Evaluation_Worksheet!$A$5:$A$87,A10))</x:f>
      </x:c>
      <x:c r="E10" s="56" t="str">
        <x:f>IF(A10="","",SUMIFS(Evaluation_Worksheet!$L$5:$L$87,Evaluation_Worksheet!$A$5:$A$87,A10))</x:f>
      </x:c>
      <x:c r="F10" s="86" t="str">
        <x:f>IFERROR(E10/D10,"")</x:f>
      </x:c>
      <x:c r="G10" s="56" t="str">
        <x:f>IF(A10="","",IF(COUNTIFS(Evaluation_Worksheet!$A$5:$A$87,A10,Evaluation_Worksheet!$O$5:$O$87,"&lt;&gt;Approved")&gt;0,"Pending Review","Approved"))</x:f>
      </x:c>
      <x:c r="H10" s="56"/>
      <x:c r="I10" s="56"/>
    </x:row>
    <x:row r="11">
      <x:c r="A11" s="56"/>
      <x:c r="B11" s="56" t="str">
        <x:f>IF(A11="","",IFERROR(VLOOKUP(A11,Student_Responses!$A$5:$K$87,2,FALSE),""))</x:f>
      </x:c>
      <x:c r="C11" s="56" t="str">
        <x:f>IF(A11="","",IFERROR(VLOOKUP(A11,Student_Responses!$A$5:$K$87,3,FALSE),""))</x:f>
      </x:c>
      <x:c r="D11" s="56" t="str">
        <x:f>IF(A11="","",SUMIFS(Evaluation_Worksheet!$F$5:$F$87,Evaluation_Worksheet!$A$5:$A$87,A11))</x:f>
      </x:c>
      <x:c r="E11" s="56" t="str">
        <x:f>IF(A11="","",SUMIFS(Evaluation_Worksheet!$L$5:$L$87,Evaluation_Worksheet!$A$5:$A$87,A11))</x:f>
      </x:c>
      <x:c r="F11" s="86" t="str">
        <x:f>IFERROR(E11/D11,"")</x:f>
      </x:c>
      <x:c r="G11" s="56" t="str">
        <x:f>IF(A11="","",IF(COUNTIFS(Evaluation_Worksheet!$A$5:$A$87,A11,Evaluation_Worksheet!$O$5:$O$87,"&lt;&gt;Approved")&gt;0,"Pending Review","Approved"))</x:f>
      </x:c>
      <x:c r="H11" s="56"/>
      <x:c r="I11" s="56"/>
    </x:row>
    <x:row r="12">
      <x:c r="A12" s="56"/>
      <x:c r="B12" s="56" t="str">
        <x:f>IF(A12="","",IFERROR(VLOOKUP(A12,Student_Responses!$A$5:$K$87,2,FALSE),""))</x:f>
      </x:c>
      <x:c r="C12" s="56" t="str">
        <x:f>IF(A12="","",IFERROR(VLOOKUP(A12,Student_Responses!$A$5:$K$87,3,FALSE),""))</x:f>
      </x:c>
      <x:c r="D12" s="56" t="str">
        <x:f>IF(A12="","",SUMIFS(Evaluation_Worksheet!$F$5:$F$87,Evaluation_Worksheet!$A$5:$A$87,A12))</x:f>
      </x:c>
      <x:c r="E12" s="56" t="str">
        <x:f>IF(A12="","",SUMIFS(Evaluation_Worksheet!$L$5:$L$87,Evaluation_Worksheet!$A$5:$A$87,A12))</x:f>
      </x:c>
      <x:c r="F12" s="86" t="str">
        <x:f>IFERROR(E12/D12,"")</x:f>
      </x:c>
      <x:c r="G12" s="56" t="str">
        <x:f>IF(A12="","",IF(COUNTIFS(Evaluation_Worksheet!$A$5:$A$87,A12,Evaluation_Worksheet!$O$5:$O$87,"&lt;&gt;Approved")&gt;0,"Pending Review","Approved"))</x:f>
      </x:c>
      <x:c r="H12" s="56"/>
      <x:c r="I12" s="56"/>
    </x:row>
    <x:row r="13">
      <x:c r="A13" s="56"/>
      <x:c r="B13" s="56" t="str">
        <x:f>IF(A13="","",IFERROR(VLOOKUP(A13,Student_Responses!$A$5:$K$87,2,FALSE),""))</x:f>
      </x:c>
      <x:c r="C13" s="56" t="str">
        <x:f>IF(A13="","",IFERROR(VLOOKUP(A13,Student_Responses!$A$5:$K$87,3,FALSE),""))</x:f>
      </x:c>
      <x:c r="D13" s="56" t="str">
        <x:f>IF(A13="","",SUMIFS(Evaluation_Worksheet!$F$5:$F$87,Evaluation_Worksheet!$A$5:$A$87,A13))</x:f>
      </x:c>
      <x:c r="E13" s="56" t="str">
        <x:f>IF(A13="","",SUMIFS(Evaluation_Worksheet!$L$5:$L$87,Evaluation_Worksheet!$A$5:$A$87,A13))</x:f>
      </x:c>
      <x:c r="F13" s="86" t="str">
        <x:f>IFERROR(E13/D13,"")</x:f>
      </x:c>
      <x:c r="G13" s="56" t="str">
        <x:f>IF(A13="","",IF(COUNTIFS(Evaluation_Worksheet!$A$5:$A$87,A13,Evaluation_Worksheet!$O$5:$O$87,"&lt;&gt;Approved")&gt;0,"Pending Review","Approved"))</x:f>
      </x:c>
      <x:c r="H13" s="56"/>
      <x:c r="I13" s="56"/>
    </x:row>
    <x:row r="14">
      <x:c r="A14" s="56"/>
      <x:c r="B14" s="56" t="str">
        <x:f>IF(A14="","",IFERROR(VLOOKUP(A14,Student_Responses!$A$5:$K$87,2,FALSE),""))</x:f>
      </x:c>
      <x:c r="C14" s="56" t="str">
        <x:f>IF(A14="","",IFERROR(VLOOKUP(A14,Student_Responses!$A$5:$K$87,3,FALSE),""))</x:f>
      </x:c>
      <x:c r="D14" s="56" t="str">
        <x:f>IF(A14="","",SUMIFS(Evaluation_Worksheet!$F$5:$F$87,Evaluation_Worksheet!$A$5:$A$87,A14))</x:f>
      </x:c>
      <x:c r="E14" s="56" t="str">
        <x:f>IF(A14="","",SUMIFS(Evaluation_Worksheet!$L$5:$L$87,Evaluation_Worksheet!$A$5:$A$87,A14))</x:f>
      </x:c>
      <x:c r="F14" s="86" t="str">
        <x:f>IFERROR(E14/D14,"")</x:f>
      </x:c>
      <x:c r="G14" s="56" t="str">
        <x:f>IF(A14="","",IF(COUNTIFS(Evaluation_Worksheet!$A$5:$A$87,A14,Evaluation_Worksheet!$O$5:$O$87,"&lt;&gt;Approved")&gt;0,"Pending Review","Approved"))</x:f>
      </x:c>
      <x:c r="H14" s="56"/>
      <x:c r="I14" s="56"/>
    </x:row>
    <x:row r="15">
      <x:c r="A15" s="56"/>
      <x:c r="B15" s="56" t="str">
        <x:f>IF(A15="","",IFERROR(VLOOKUP(A15,Student_Responses!$A$5:$K$87,2,FALSE),""))</x:f>
      </x:c>
      <x:c r="C15" s="56" t="str">
        <x:f>IF(A15="","",IFERROR(VLOOKUP(A15,Student_Responses!$A$5:$K$87,3,FALSE),""))</x:f>
      </x:c>
      <x:c r="D15" s="56" t="str">
        <x:f>IF(A15="","",SUMIFS(Evaluation_Worksheet!$F$5:$F$87,Evaluation_Worksheet!$A$5:$A$87,A15))</x:f>
      </x:c>
      <x:c r="E15" s="56" t="str">
        <x:f>IF(A15="","",SUMIFS(Evaluation_Worksheet!$L$5:$L$87,Evaluation_Worksheet!$A$5:$A$87,A15))</x:f>
      </x:c>
      <x:c r="F15" s="86" t="str">
        <x:f>IFERROR(E15/D15,"")</x:f>
      </x:c>
      <x:c r="G15" s="56" t="str">
        <x:f>IF(A15="","",IF(COUNTIFS(Evaluation_Worksheet!$A$5:$A$87,A15,Evaluation_Worksheet!$O$5:$O$87,"&lt;&gt;Approved")&gt;0,"Pending Review","Approved"))</x:f>
      </x:c>
      <x:c r="H15" s="56"/>
      <x:c r="I15" s="56"/>
    </x:row>
    <x:row r="16">
      <x:c r="A16" s="56"/>
      <x:c r="B16" s="56" t="str">
        <x:f>IF(A16="","",IFERROR(VLOOKUP(A16,Student_Responses!$A$5:$K$87,2,FALSE),""))</x:f>
      </x:c>
      <x:c r="C16" s="56" t="str">
        <x:f>IF(A16="","",IFERROR(VLOOKUP(A16,Student_Responses!$A$5:$K$87,3,FALSE),""))</x:f>
      </x:c>
      <x:c r="D16" s="56" t="str">
        <x:f>IF(A16="","",SUMIFS(Evaluation_Worksheet!$F$5:$F$87,Evaluation_Worksheet!$A$5:$A$87,A16))</x:f>
      </x:c>
      <x:c r="E16" s="56" t="str">
        <x:f>IF(A16="","",SUMIFS(Evaluation_Worksheet!$L$5:$L$87,Evaluation_Worksheet!$A$5:$A$87,A16))</x:f>
      </x:c>
      <x:c r="F16" s="86" t="str">
        <x:f>IFERROR(E16/D16,"")</x:f>
      </x:c>
      <x:c r="G16" s="56" t="str">
        <x:f>IF(A16="","",IF(COUNTIFS(Evaluation_Worksheet!$A$5:$A$87,A16,Evaluation_Worksheet!$O$5:$O$87,"&lt;&gt;Approved")&gt;0,"Pending Review","Approved"))</x:f>
      </x:c>
      <x:c r="H16" s="56"/>
      <x:c r="I16" s="56"/>
    </x:row>
    <x:row r="17">
      <x:c r="A17" s="56"/>
      <x:c r="B17" s="56" t="str">
        <x:f>IF(A17="","",IFERROR(VLOOKUP(A17,Student_Responses!$A$5:$K$87,2,FALSE),""))</x:f>
      </x:c>
      <x:c r="C17" s="56" t="str">
        <x:f>IF(A17="","",IFERROR(VLOOKUP(A17,Student_Responses!$A$5:$K$87,3,FALSE),""))</x:f>
      </x:c>
      <x:c r="D17" s="56" t="str">
        <x:f>IF(A17="","",SUMIFS(Evaluation_Worksheet!$F$5:$F$87,Evaluation_Worksheet!$A$5:$A$87,A17))</x:f>
      </x:c>
      <x:c r="E17" s="56" t="str">
        <x:f>IF(A17="","",SUMIFS(Evaluation_Worksheet!$L$5:$L$87,Evaluation_Worksheet!$A$5:$A$87,A17))</x:f>
      </x:c>
      <x:c r="F17" s="86" t="str">
        <x:f>IFERROR(E17/D17,"")</x:f>
      </x:c>
      <x:c r="G17" s="56" t="str">
        <x:f>IF(A17="","",IF(COUNTIFS(Evaluation_Worksheet!$A$5:$A$87,A17,Evaluation_Worksheet!$O$5:$O$87,"&lt;&gt;Approved")&gt;0,"Pending Review","Approved"))</x:f>
      </x:c>
      <x:c r="H17" s="56"/>
      <x:c r="I17" s="56"/>
    </x:row>
    <x:row r="18">
      <x:c r="A18" s="56"/>
      <x:c r="B18" s="56" t="str">
        <x:f>IF(A18="","",IFERROR(VLOOKUP(A18,Student_Responses!$A$5:$K$87,2,FALSE),""))</x:f>
      </x:c>
      <x:c r="C18" s="56" t="str">
        <x:f>IF(A18="","",IFERROR(VLOOKUP(A18,Student_Responses!$A$5:$K$87,3,FALSE),""))</x:f>
      </x:c>
      <x:c r="D18" s="56" t="str">
        <x:f>IF(A18="","",SUMIFS(Evaluation_Worksheet!$F$5:$F$87,Evaluation_Worksheet!$A$5:$A$87,A18))</x:f>
      </x:c>
      <x:c r="E18" s="56" t="str">
        <x:f>IF(A18="","",SUMIFS(Evaluation_Worksheet!$L$5:$L$87,Evaluation_Worksheet!$A$5:$A$87,A18))</x:f>
      </x:c>
      <x:c r="F18" s="86" t="str">
        <x:f>IFERROR(E18/D18,"")</x:f>
      </x:c>
      <x:c r="G18" s="56" t="str">
        <x:f>IF(A18="","",IF(COUNTIFS(Evaluation_Worksheet!$A$5:$A$87,A18,Evaluation_Worksheet!$O$5:$O$87,"&lt;&gt;Approved")&gt;0,"Pending Review","Approved"))</x:f>
      </x:c>
      <x:c r="H18" s="56"/>
      <x:c r="I18" s="56"/>
    </x:row>
    <x:row r="19">
      <x:c r="A19" s="56"/>
      <x:c r="B19" s="56" t="str">
        <x:f>IF(A19="","",IFERROR(VLOOKUP(A19,Student_Responses!$A$5:$K$87,2,FALSE),""))</x:f>
      </x:c>
      <x:c r="C19" s="56" t="str">
        <x:f>IF(A19="","",IFERROR(VLOOKUP(A19,Student_Responses!$A$5:$K$87,3,FALSE),""))</x:f>
      </x:c>
      <x:c r="D19" s="56" t="str">
        <x:f>IF(A19="","",SUMIFS(Evaluation_Worksheet!$F$5:$F$87,Evaluation_Worksheet!$A$5:$A$87,A19))</x:f>
      </x:c>
      <x:c r="E19" s="56" t="str">
        <x:f>IF(A19="","",SUMIFS(Evaluation_Worksheet!$L$5:$L$87,Evaluation_Worksheet!$A$5:$A$87,A19))</x:f>
      </x:c>
      <x:c r="F19" s="86" t="str">
        <x:f>IFERROR(E19/D19,"")</x:f>
      </x:c>
      <x:c r="G19" s="56" t="str">
        <x:f>IF(A19="","",IF(COUNTIFS(Evaluation_Worksheet!$A$5:$A$87,A19,Evaluation_Worksheet!$O$5:$O$87,"&lt;&gt;Approved")&gt;0,"Pending Review","Approved"))</x:f>
      </x:c>
      <x:c r="H19" s="56"/>
      <x:c r="I19" s="56"/>
    </x:row>
    <x:row r="20">
      <x:c r="A20" s="56"/>
      <x:c r="B20" s="56" t="str">
        <x:f>IF(A20="","",IFERROR(VLOOKUP(A20,Student_Responses!$A$5:$K$87,2,FALSE),""))</x:f>
      </x:c>
      <x:c r="C20" s="56" t="str">
        <x:f>IF(A20="","",IFERROR(VLOOKUP(A20,Student_Responses!$A$5:$K$87,3,FALSE),""))</x:f>
      </x:c>
      <x:c r="D20" s="56" t="str">
        <x:f>IF(A20="","",SUMIFS(Evaluation_Worksheet!$F$5:$F$87,Evaluation_Worksheet!$A$5:$A$87,A20))</x:f>
      </x:c>
      <x:c r="E20" s="56" t="str">
        <x:f>IF(A20="","",SUMIFS(Evaluation_Worksheet!$L$5:$L$87,Evaluation_Worksheet!$A$5:$A$87,A20))</x:f>
      </x:c>
      <x:c r="F20" s="86" t="str">
        <x:f>IFERROR(E20/D20,"")</x:f>
      </x:c>
      <x:c r="G20" s="56" t="str">
        <x:f>IF(A20="","",IF(COUNTIFS(Evaluation_Worksheet!$A$5:$A$87,A20,Evaluation_Worksheet!$O$5:$O$87,"&lt;&gt;Approved")&gt;0,"Pending Review","Approved"))</x:f>
      </x:c>
      <x:c r="H20" s="56"/>
      <x:c r="I20" s="56"/>
    </x:row>
    <x:row r="21">
      <x:c r="A21" s="56"/>
      <x:c r="B21" s="56" t="str">
        <x:f>IF(A21="","",IFERROR(VLOOKUP(A21,Student_Responses!$A$5:$K$87,2,FALSE),""))</x:f>
      </x:c>
      <x:c r="C21" s="56" t="str">
        <x:f>IF(A21="","",IFERROR(VLOOKUP(A21,Student_Responses!$A$5:$K$87,3,FALSE),""))</x:f>
      </x:c>
      <x:c r="D21" s="56" t="str">
        <x:f>IF(A21="","",SUMIFS(Evaluation_Worksheet!$F$5:$F$87,Evaluation_Worksheet!$A$5:$A$87,A21))</x:f>
      </x:c>
      <x:c r="E21" s="56" t="str">
        <x:f>IF(A21="","",SUMIFS(Evaluation_Worksheet!$L$5:$L$87,Evaluation_Worksheet!$A$5:$A$87,A21))</x:f>
      </x:c>
      <x:c r="F21" s="86" t="str">
        <x:f>IFERROR(E21/D21,"")</x:f>
      </x:c>
      <x:c r="G21" s="56" t="str">
        <x:f>IF(A21="","",IF(COUNTIFS(Evaluation_Worksheet!$A$5:$A$87,A21,Evaluation_Worksheet!$O$5:$O$87,"&lt;&gt;Approved")&gt;0,"Pending Review","Approved"))</x:f>
      </x:c>
      <x:c r="H21" s="56"/>
      <x:c r="I21" s="56"/>
    </x:row>
    <x:row r="22">
      <x:c r="A22" s="56"/>
      <x:c r="B22" s="56" t="str">
        <x:f>IF(A22="","",IFERROR(VLOOKUP(A22,Student_Responses!$A$5:$K$87,2,FALSE),""))</x:f>
      </x:c>
      <x:c r="C22" s="56" t="str">
        <x:f>IF(A22="","",IFERROR(VLOOKUP(A22,Student_Responses!$A$5:$K$87,3,FALSE),""))</x:f>
      </x:c>
      <x:c r="D22" s="56" t="str">
        <x:f>IF(A22="","",SUMIFS(Evaluation_Worksheet!$F$5:$F$87,Evaluation_Worksheet!$A$5:$A$87,A22))</x:f>
      </x:c>
      <x:c r="E22" s="56" t="str">
        <x:f>IF(A22="","",SUMIFS(Evaluation_Worksheet!$L$5:$L$87,Evaluation_Worksheet!$A$5:$A$87,A22))</x:f>
      </x:c>
      <x:c r="F22" s="86" t="str">
        <x:f>IFERROR(E22/D22,"")</x:f>
      </x:c>
      <x:c r="G22" s="56" t="str">
        <x:f>IF(A22="","",IF(COUNTIFS(Evaluation_Worksheet!$A$5:$A$87,A22,Evaluation_Worksheet!$O$5:$O$87,"&lt;&gt;Approved")&gt;0,"Pending Review","Approved"))</x:f>
      </x:c>
      <x:c r="H22" s="56"/>
      <x:c r="I22" s="56"/>
    </x:row>
    <x:row r="23">
      <x:c r="A23" s="56"/>
      <x:c r="B23" s="56" t="str">
        <x:f>IF(A23="","",IFERROR(VLOOKUP(A23,Student_Responses!$A$5:$K$87,2,FALSE),""))</x:f>
      </x:c>
      <x:c r="C23" s="56" t="str">
        <x:f>IF(A23="","",IFERROR(VLOOKUP(A23,Student_Responses!$A$5:$K$87,3,FALSE),""))</x:f>
      </x:c>
      <x:c r="D23" s="56" t="str">
        <x:f>IF(A23="","",SUMIFS(Evaluation_Worksheet!$F$5:$F$87,Evaluation_Worksheet!$A$5:$A$87,A23))</x:f>
      </x:c>
      <x:c r="E23" s="56" t="str">
        <x:f>IF(A23="","",SUMIFS(Evaluation_Worksheet!$L$5:$L$87,Evaluation_Worksheet!$A$5:$A$87,A23))</x:f>
      </x:c>
      <x:c r="F23" s="86" t="str">
        <x:f>IFERROR(E23/D23,"")</x:f>
      </x:c>
      <x:c r="G23" s="56" t="str">
        <x:f>IF(A23="","",IF(COUNTIFS(Evaluation_Worksheet!$A$5:$A$87,A23,Evaluation_Worksheet!$O$5:$O$87,"&lt;&gt;Approved")&gt;0,"Pending Review","Approved"))</x:f>
      </x:c>
      <x:c r="H23" s="56"/>
      <x:c r="I23" s="56"/>
    </x:row>
    <x:row r="24">
      <x:c r="A24" s="56"/>
      <x:c r="B24" s="56" t="str">
        <x:f>IF(A24="","",IFERROR(VLOOKUP(A24,Student_Responses!$A$5:$K$87,2,FALSE),""))</x:f>
      </x:c>
      <x:c r="C24" s="56" t="str">
        <x:f>IF(A24="","",IFERROR(VLOOKUP(A24,Student_Responses!$A$5:$K$87,3,FALSE),""))</x:f>
      </x:c>
      <x:c r="D24" s="56" t="str">
        <x:f>IF(A24="","",SUMIFS(Evaluation_Worksheet!$F$5:$F$87,Evaluation_Worksheet!$A$5:$A$87,A24))</x:f>
      </x:c>
      <x:c r="E24" s="56" t="str">
        <x:f>IF(A24="","",SUMIFS(Evaluation_Worksheet!$L$5:$L$87,Evaluation_Worksheet!$A$5:$A$87,A24))</x:f>
      </x:c>
      <x:c r="F24" s="86" t="str">
        <x:f>IFERROR(E24/D24,"")</x:f>
      </x:c>
      <x:c r="G24" s="56" t="str">
        <x:f>IF(A24="","",IF(COUNTIFS(Evaluation_Worksheet!$A$5:$A$87,A24,Evaluation_Worksheet!$O$5:$O$87,"&lt;&gt;Approved")&gt;0,"Pending Review","Approved"))</x:f>
      </x:c>
      <x:c r="H24" s="56"/>
      <x:c r="I24" s="56"/>
    </x:row>
    <x:row r="25">
      <x:c r="A25" s="56"/>
      <x:c r="B25" s="56" t="str">
        <x:f>IF(A25="","",IFERROR(VLOOKUP(A25,Student_Responses!$A$5:$K$87,2,FALSE),""))</x:f>
      </x:c>
      <x:c r="C25" s="56" t="str">
        <x:f>IF(A25="","",IFERROR(VLOOKUP(A25,Student_Responses!$A$5:$K$87,3,FALSE),""))</x:f>
      </x:c>
      <x:c r="D25" s="56" t="str">
        <x:f>IF(A25="","",SUMIFS(Evaluation_Worksheet!$F$5:$F$87,Evaluation_Worksheet!$A$5:$A$87,A25))</x:f>
      </x:c>
      <x:c r="E25" s="56" t="str">
        <x:f>IF(A25="","",SUMIFS(Evaluation_Worksheet!$L$5:$L$87,Evaluation_Worksheet!$A$5:$A$87,A25))</x:f>
      </x:c>
      <x:c r="F25" s="86" t="str">
        <x:f>IFERROR(E25/D25,"")</x:f>
      </x:c>
      <x:c r="G25" s="56" t="str">
        <x:f>IF(A25="","",IF(COUNTIFS(Evaluation_Worksheet!$A$5:$A$87,A25,Evaluation_Worksheet!$O$5:$O$87,"&lt;&gt;Approved")&gt;0,"Pending Review","Approved"))</x:f>
      </x:c>
      <x:c r="H25" s="56"/>
      <x:c r="I25" s="56"/>
    </x:row>
    <x:row r="26">
      <x:c r="A26" s="56"/>
      <x:c r="B26" s="56" t="str">
        <x:f>IF(A26="","",IFERROR(VLOOKUP(A26,Student_Responses!$A$5:$K$87,2,FALSE),""))</x:f>
      </x:c>
      <x:c r="C26" s="56" t="str">
        <x:f>IF(A26="","",IFERROR(VLOOKUP(A26,Student_Responses!$A$5:$K$87,3,FALSE),""))</x:f>
      </x:c>
      <x:c r="D26" s="56" t="str">
        <x:f>IF(A26="","",SUMIFS(Evaluation_Worksheet!$F$5:$F$87,Evaluation_Worksheet!$A$5:$A$87,A26))</x:f>
      </x:c>
      <x:c r="E26" s="56" t="str">
        <x:f>IF(A26="","",SUMIFS(Evaluation_Worksheet!$L$5:$L$87,Evaluation_Worksheet!$A$5:$A$87,A26))</x:f>
      </x:c>
      <x:c r="F26" s="86" t="str">
        <x:f>IFERROR(E26/D26,"")</x:f>
      </x:c>
      <x:c r="G26" s="56" t="str">
        <x:f>IF(A26="","",IF(COUNTIFS(Evaluation_Worksheet!$A$5:$A$87,A26,Evaluation_Worksheet!$O$5:$O$87,"&lt;&gt;Approved")&gt;0,"Pending Review","Approved"))</x:f>
      </x:c>
      <x:c r="H26" s="56"/>
      <x:c r="I26" s="56"/>
    </x:row>
    <x:row r="27">
      <x:c r="A27" s="56"/>
      <x:c r="B27" s="56" t="str">
        <x:f>IF(A27="","",IFERROR(VLOOKUP(A27,Student_Responses!$A$5:$K$87,2,FALSE),""))</x:f>
      </x:c>
      <x:c r="C27" s="56" t="str">
        <x:f>IF(A27="","",IFERROR(VLOOKUP(A27,Student_Responses!$A$5:$K$87,3,FALSE),""))</x:f>
      </x:c>
      <x:c r="D27" s="56" t="str">
        <x:f>IF(A27="","",SUMIFS(Evaluation_Worksheet!$F$5:$F$87,Evaluation_Worksheet!$A$5:$A$87,A27))</x:f>
      </x:c>
      <x:c r="E27" s="56" t="str">
        <x:f>IF(A27="","",SUMIFS(Evaluation_Worksheet!$L$5:$L$87,Evaluation_Worksheet!$A$5:$A$87,A27))</x:f>
      </x:c>
      <x:c r="F27" s="86" t="str">
        <x:f>IFERROR(E27/D27,"")</x:f>
      </x:c>
      <x:c r="G27" s="56" t="str">
        <x:f>IF(A27="","",IF(COUNTIFS(Evaluation_Worksheet!$A$5:$A$87,A27,Evaluation_Worksheet!$O$5:$O$87,"&lt;&gt;Approved")&gt;0,"Pending Review","Approved"))</x:f>
      </x:c>
      <x:c r="H27" s="56"/>
      <x:c r="I27" s="56"/>
    </x:row>
    <x:row r="28">
      <x:c r="A28" s="56"/>
      <x:c r="B28" s="56" t="str">
        <x:f>IF(A28="","",IFERROR(VLOOKUP(A28,Student_Responses!$A$5:$K$87,2,FALSE),""))</x:f>
      </x:c>
      <x:c r="C28" s="56" t="str">
        <x:f>IF(A28="","",IFERROR(VLOOKUP(A28,Student_Responses!$A$5:$K$87,3,FALSE),""))</x:f>
      </x:c>
      <x:c r="D28" s="56" t="str">
        <x:f>IF(A28="","",SUMIFS(Evaluation_Worksheet!$F$5:$F$87,Evaluation_Worksheet!$A$5:$A$87,A28))</x:f>
      </x:c>
      <x:c r="E28" s="56" t="str">
        <x:f>IF(A28="","",SUMIFS(Evaluation_Worksheet!$L$5:$L$87,Evaluation_Worksheet!$A$5:$A$87,A28))</x:f>
      </x:c>
      <x:c r="F28" s="86" t="str">
        <x:f>IFERROR(E28/D28,"")</x:f>
      </x:c>
      <x:c r="G28" s="56" t="str">
        <x:f>IF(A28="","",IF(COUNTIFS(Evaluation_Worksheet!$A$5:$A$87,A28,Evaluation_Worksheet!$O$5:$O$87,"&lt;&gt;Approved")&gt;0,"Pending Review","Approved"))</x:f>
      </x:c>
      <x:c r="H28" s="56"/>
      <x:c r="I28" s="56"/>
    </x:row>
    <x:row r="29">
      <x:c r="A29" s="56"/>
      <x:c r="B29" s="56" t="str">
        <x:f>IF(A29="","",IFERROR(VLOOKUP(A29,Student_Responses!$A$5:$K$87,2,FALSE),""))</x:f>
      </x:c>
      <x:c r="C29" s="56" t="str">
        <x:f>IF(A29="","",IFERROR(VLOOKUP(A29,Student_Responses!$A$5:$K$87,3,FALSE),""))</x:f>
      </x:c>
      <x:c r="D29" s="56" t="str">
        <x:f>IF(A29="","",SUMIFS(Evaluation_Worksheet!$F$5:$F$87,Evaluation_Worksheet!$A$5:$A$87,A29))</x:f>
      </x:c>
      <x:c r="E29" s="56" t="str">
        <x:f>IF(A29="","",SUMIFS(Evaluation_Worksheet!$L$5:$L$87,Evaluation_Worksheet!$A$5:$A$87,A29))</x:f>
      </x:c>
      <x:c r="F29" s="86" t="str">
        <x:f>IFERROR(E29/D29,"")</x:f>
      </x:c>
      <x:c r="G29" s="56" t="str">
        <x:f>IF(A29="","",IF(COUNTIFS(Evaluation_Worksheet!$A$5:$A$87,A29,Evaluation_Worksheet!$O$5:$O$87,"&lt;&gt;Approved")&gt;0,"Pending Review","Approved"))</x:f>
      </x:c>
      <x:c r="H29" s="56"/>
      <x:c r="I29" s="56"/>
    </x:row>
    <x:row r="30">
      <x:c r="A30" s="56"/>
      <x:c r="B30" s="56" t="str">
        <x:f>IF(A30="","",IFERROR(VLOOKUP(A30,Student_Responses!$A$5:$K$87,2,FALSE),""))</x:f>
      </x:c>
      <x:c r="C30" s="56" t="str">
        <x:f>IF(A30="","",IFERROR(VLOOKUP(A30,Student_Responses!$A$5:$K$87,3,FALSE),""))</x:f>
      </x:c>
      <x:c r="D30" s="56" t="str">
        <x:f>IF(A30="","",SUMIFS(Evaluation_Worksheet!$F$5:$F$87,Evaluation_Worksheet!$A$5:$A$87,A30))</x:f>
      </x:c>
      <x:c r="E30" s="56" t="str">
        <x:f>IF(A30="","",SUMIFS(Evaluation_Worksheet!$L$5:$L$87,Evaluation_Worksheet!$A$5:$A$87,A30))</x:f>
      </x:c>
      <x:c r="F30" s="86" t="str">
        <x:f>IFERROR(E30/D30,"")</x:f>
      </x:c>
      <x:c r="G30" s="56" t="str">
        <x:f>IF(A30="","",IF(COUNTIFS(Evaluation_Worksheet!$A$5:$A$87,A30,Evaluation_Worksheet!$O$5:$O$87,"&lt;&gt;Approved")&gt;0,"Pending Review","Approved"))</x:f>
      </x:c>
      <x:c r="H30" s="56"/>
      <x:c r="I30" s="56"/>
    </x:row>
    <x:row r="31">
      <x:c r="A31" s="56"/>
      <x:c r="B31" s="56" t="str">
        <x:f>IF(A31="","",IFERROR(VLOOKUP(A31,Student_Responses!$A$5:$K$87,2,FALSE),""))</x:f>
      </x:c>
      <x:c r="C31" s="56" t="str">
        <x:f>IF(A31="","",IFERROR(VLOOKUP(A31,Student_Responses!$A$5:$K$87,3,FALSE),""))</x:f>
      </x:c>
      <x:c r="D31" s="56" t="str">
        <x:f>IF(A31="","",SUMIFS(Evaluation_Worksheet!$F$5:$F$87,Evaluation_Worksheet!$A$5:$A$87,A31))</x:f>
      </x:c>
      <x:c r="E31" s="56" t="str">
        <x:f>IF(A31="","",SUMIFS(Evaluation_Worksheet!$L$5:$L$87,Evaluation_Worksheet!$A$5:$A$87,A31))</x:f>
      </x:c>
      <x:c r="F31" s="86" t="str">
        <x:f>IFERROR(E31/D31,"")</x:f>
      </x:c>
      <x:c r="G31" s="56" t="str">
        <x:f>IF(A31="","",IF(COUNTIFS(Evaluation_Worksheet!$A$5:$A$87,A31,Evaluation_Worksheet!$O$5:$O$87,"&lt;&gt;Approved")&gt;0,"Pending Review","Approved"))</x:f>
      </x:c>
      <x:c r="H31" s="56"/>
      <x:c r="I31" s="56"/>
    </x:row>
    <x:row r="32">
      <x:c r="A32" s="56"/>
      <x:c r="B32" s="56" t="str">
        <x:f>IF(A32="","",IFERROR(VLOOKUP(A32,Student_Responses!$A$5:$K$87,2,FALSE),""))</x:f>
      </x:c>
      <x:c r="C32" s="56" t="str">
        <x:f>IF(A32="","",IFERROR(VLOOKUP(A32,Student_Responses!$A$5:$K$87,3,FALSE),""))</x:f>
      </x:c>
      <x:c r="D32" s="56" t="str">
        <x:f>IF(A32="","",SUMIFS(Evaluation_Worksheet!$F$5:$F$87,Evaluation_Worksheet!$A$5:$A$87,A32))</x:f>
      </x:c>
      <x:c r="E32" s="56" t="str">
        <x:f>IF(A32="","",SUMIFS(Evaluation_Worksheet!$L$5:$L$87,Evaluation_Worksheet!$A$5:$A$87,A32))</x:f>
      </x:c>
      <x:c r="F32" s="86" t="str">
        <x:f>IFERROR(E32/D32,"")</x:f>
      </x:c>
      <x:c r="G32" s="56" t="str">
        <x:f>IF(A32="","",IF(COUNTIFS(Evaluation_Worksheet!$A$5:$A$87,A32,Evaluation_Worksheet!$O$5:$O$87,"&lt;&gt;Approved")&gt;0,"Pending Review","Approved"))</x:f>
      </x:c>
      <x:c r="H32" s="56"/>
      <x:c r="I32" s="56"/>
    </x:row>
    <x:row r="33">
      <x:c r="A33" s="56"/>
      <x:c r="B33" s="56" t="str">
        <x:f>IF(A33="","",IFERROR(VLOOKUP(A33,Student_Responses!$A$5:$K$87,2,FALSE),""))</x:f>
      </x:c>
      <x:c r="C33" s="56" t="str">
        <x:f>IF(A33="","",IFERROR(VLOOKUP(A33,Student_Responses!$A$5:$K$87,3,FALSE),""))</x:f>
      </x:c>
      <x:c r="D33" s="56" t="str">
        <x:f>IF(A33="","",SUMIFS(Evaluation_Worksheet!$F$5:$F$87,Evaluation_Worksheet!$A$5:$A$87,A33))</x:f>
      </x:c>
      <x:c r="E33" s="56" t="str">
        <x:f>IF(A33="","",SUMIFS(Evaluation_Worksheet!$L$5:$L$87,Evaluation_Worksheet!$A$5:$A$87,A33))</x:f>
      </x:c>
      <x:c r="F33" s="86" t="str">
        <x:f>IFERROR(E33/D33,"")</x:f>
      </x:c>
      <x:c r="G33" s="56" t="str">
        <x:f>IF(A33="","",IF(COUNTIFS(Evaluation_Worksheet!$A$5:$A$87,A33,Evaluation_Worksheet!$O$5:$O$87,"&lt;&gt;Approved")&gt;0,"Pending Review","Approved"))</x:f>
      </x:c>
      <x:c r="H33" s="56"/>
      <x:c r="I33" s="56"/>
    </x:row>
    <x:row r="34">
      <x:c r="A34" s="56"/>
      <x:c r="B34" s="56" t="str">
        <x:f>IF(A34="","",IFERROR(VLOOKUP(A34,Student_Responses!$A$5:$K$87,2,FALSE),""))</x:f>
      </x:c>
      <x:c r="C34" s="56" t="str">
        <x:f>IF(A34="","",IFERROR(VLOOKUP(A34,Student_Responses!$A$5:$K$87,3,FALSE),""))</x:f>
      </x:c>
      <x:c r="D34" s="56" t="str">
        <x:f>IF(A34="","",SUMIFS(Evaluation_Worksheet!$F$5:$F$87,Evaluation_Worksheet!$A$5:$A$87,A34))</x:f>
      </x:c>
      <x:c r="E34" s="56" t="str">
        <x:f>IF(A34="","",SUMIFS(Evaluation_Worksheet!$L$5:$L$87,Evaluation_Worksheet!$A$5:$A$87,A34))</x:f>
      </x:c>
      <x:c r="F34" s="86" t="str">
        <x:f>IFERROR(E34/D34,"")</x:f>
      </x:c>
      <x:c r="G34" s="56" t="str">
        <x:f>IF(A34="","",IF(COUNTIFS(Evaluation_Worksheet!$A$5:$A$87,A34,Evaluation_Worksheet!$O$5:$O$87,"&lt;&gt;Approved")&gt;0,"Pending Review","Approved"))</x:f>
      </x:c>
      <x:c r="H34" s="56"/>
      <x:c r="I34" s="56"/>
    </x:row>
  </x:sheetData>
  <x:mergeCells>
    <x:mergeCell ref="A1:L1"/>
    <x:mergeCell ref="A2:L2"/>
  </x:mergeCells>
  <x:conditionalFormatting sqref="G5:G34">
    <x:cfRule type="expression" dxfId="6" priority="4">
      <x:formula>$G5="Approved"</x:formula>
    </x:cfRule>
    <x:cfRule type="expression" dxfId="7" priority="5">
      <x:formula>$G5="Pending Review"</x:formula>
    </x:cfRule>
  </x:conditionalFormatting>
  <x:conditionalFormatting sqref="H5:H34">
    <x:cfRule type="expression" dxfId="8" priority="6">
      <x:formula>$H5="Published"</x:formula>
    </x:cfRule>
  </x:conditionalFormatting>
  <x:dataValidations count="1">
    <x:dataValidation type="list" sqref="H5:H34">
      <x:formula1>Lists!$F$5:$F$7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eea6d1d0824374"/>
  </x:tableParts>
</x:worksheet>
</file>